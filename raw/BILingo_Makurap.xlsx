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5"/>
    <sheet state="visible" name="Lista" sheetId="2" r:id="rId6"/>
    <sheet state="visible" name="image-stock" sheetId="3" r:id="rId7"/>
  </sheets>
  <definedNames/>
  <calcPr/>
</workbook>
</file>

<file path=xl/sharedStrings.xml><?xml version="1.0" encoding="utf-8"?>
<sst xmlns="http://schemas.openxmlformats.org/spreadsheetml/2006/main" count="887" uniqueCount="741">
  <si>
    <t>Letra</t>
  </si>
  <si>
    <t>Som</t>
  </si>
  <si>
    <t>answer_1</t>
  </si>
  <si>
    <t>Makurap</t>
  </si>
  <si>
    <t>Português</t>
  </si>
  <si>
    <t>arquivo áudio</t>
  </si>
  <si>
    <t>Plural</t>
  </si>
  <si>
    <t>Notas</t>
  </si>
  <si>
    <t>Explicações</t>
  </si>
  <si>
    <t>A</t>
  </si>
  <si>
    <r>
      <rPr>
        <rFont val="Arial"/>
        <color rgb="FF000000"/>
        <sz val="10.0"/>
      </rPr>
      <t>c</t>
    </r>
    <r>
      <rPr>
        <rFont val="Arial"/>
        <color rgb="FFFF0000"/>
        <sz val="10.0"/>
      </rPr>
      <t>a</t>
    </r>
    <r>
      <rPr>
        <rFont val="Arial"/>
        <color rgb="FF000000"/>
        <sz val="10.0"/>
      </rPr>
      <t>sa</t>
    </r>
  </si>
  <si>
    <r>
      <rPr>
        <rFont val="Arial"/>
        <color rgb="FFFF0000"/>
        <sz val="10.0"/>
      </rPr>
      <t>a</t>
    </r>
    <r>
      <rPr>
        <rFont val="Arial"/>
        <color rgb="FF000000"/>
        <sz val="10.0"/>
      </rPr>
      <t>r</t>
    </r>
    <r>
      <rPr>
        <rFont val="Arial"/>
        <color rgb="FFFF0000"/>
        <sz val="10.0"/>
      </rPr>
      <t>a</t>
    </r>
    <r>
      <rPr>
        <rFont val="Arial"/>
        <color rgb="FF000000"/>
        <sz val="10.0"/>
      </rPr>
      <t>o</t>
    </r>
  </si>
  <si>
    <t>castanha</t>
  </si>
  <si>
    <t>nut</t>
  </si>
  <si>
    <t>castanha-do-Pará</t>
  </si>
  <si>
    <t>arao/castanha-do-pará.wav</t>
  </si>
  <si>
    <t>Ã</t>
  </si>
  <si>
    <r>
      <rPr>
        <rFont val="Arial"/>
        <color theme="1"/>
        <sz val="10.0"/>
      </rPr>
      <t>m</t>
    </r>
    <r>
      <rPr>
        <rFont val="Arial"/>
        <color rgb="FFFF0000"/>
        <sz val="10.0"/>
      </rPr>
      <t>ã</t>
    </r>
    <r>
      <rPr>
        <rFont val="Arial"/>
        <color theme="1"/>
        <sz val="10.0"/>
      </rPr>
      <t>o</t>
    </r>
  </si>
  <si>
    <r>
      <rPr>
        <rFont val="Arial"/>
        <color theme="1"/>
        <sz val="10.0"/>
      </rPr>
      <t>merow</t>
    </r>
    <r>
      <rPr>
        <rFont val="Arial"/>
        <color rgb="FFFF0000"/>
        <sz val="10.0"/>
      </rPr>
      <t>ã</t>
    </r>
  </si>
  <si>
    <t>mosca</t>
  </si>
  <si>
    <t>merowã/mosca.wav</t>
  </si>
  <si>
    <t>E</t>
  </si>
  <si>
    <r>
      <rPr>
        <rFont val="Arial"/>
        <color rgb="FF000000"/>
        <sz val="10.0"/>
      </rPr>
      <t>p</t>
    </r>
    <r>
      <rPr>
        <rFont val="Arial"/>
        <b/>
        <color rgb="FFFF0000"/>
        <sz val="10.0"/>
      </rPr>
      <t xml:space="preserve">é </t>
    </r>
    <r>
      <rPr>
        <rFont val="Arial"/>
        <color rgb="FF000000"/>
        <sz val="10.0"/>
      </rPr>
      <t xml:space="preserve">/ </t>
    </r>
    <r>
      <rPr>
        <rFont val="Arial"/>
        <color rgb="FFFF0000"/>
        <sz val="10.0"/>
      </rPr>
      <t>e</t>
    </r>
    <r>
      <rPr>
        <rFont val="Arial"/>
        <color rgb="FF000000"/>
        <sz val="10.0"/>
      </rPr>
      <t>scada</t>
    </r>
  </si>
  <si>
    <r>
      <rPr>
        <rFont val="Arial"/>
        <color rgb="FFFF0000"/>
        <sz val="10.0"/>
      </rPr>
      <t>e</t>
    </r>
    <r>
      <rPr>
        <rFont val="Arial"/>
        <color theme="1"/>
        <sz val="10.0"/>
      </rPr>
      <t>r</t>
    </r>
    <r>
      <rPr>
        <rFont val="Arial"/>
        <color rgb="FFFF0000"/>
        <sz val="10.0"/>
      </rPr>
      <t>e</t>
    </r>
  </si>
  <si>
    <t>homem-não-indígena</t>
  </si>
  <si>
    <t>não-indígena</t>
  </si>
  <si>
    <t>ere/homem-não-indígena.wav</t>
  </si>
  <si>
    <t>Ẽ</t>
  </si>
  <si>
    <r>
      <rPr>
        <rFont val="Arial"/>
        <b val="0"/>
        <color rgb="FF000000"/>
        <sz val="10.0"/>
      </rPr>
      <t>p</t>
    </r>
    <r>
      <rPr>
        <rFont val="Arial"/>
        <b/>
        <color rgb="FFFF0000"/>
        <sz val="10.0"/>
      </rPr>
      <t>e</t>
    </r>
    <r>
      <rPr>
        <rFont val="Arial"/>
        <b val="0"/>
        <color rgb="FF000000"/>
        <sz val="10.0"/>
      </rPr>
      <t>nte</t>
    </r>
  </si>
  <si>
    <r>
      <rPr>
        <rFont val="Arial"/>
        <color theme="1"/>
        <sz val="10.0"/>
      </rPr>
      <t>er</t>
    </r>
    <r>
      <rPr>
        <rFont val="Arial"/>
        <color rgb="FFFF0000"/>
        <sz val="10.0"/>
      </rPr>
      <t>ẽ</t>
    </r>
    <r>
      <rPr>
        <rFont val="Arial"/>
        <color theme="1"/>
        <sz val="10.0"/>
      </rPr>
      <t>y</t>
    </r>
  </si>
  <si>
    <t>manchado</t>
  </si>
  <si>
    <t>pintado/manchado</t>
  </si>
  <si>
    <t>erẽy/manchado.wav</t>
  </si>
  <si>
    <t>G</t>
  </si>
  <si>
    <r>
      <rPr>
        <rFont val="Arial"/>
        <color rgb="FFFF0000"/>
        <sz val="10.0"/>
      </rPr>
      <t>g</t>
    </r>
    <r>
      <rPr>
        <rFont val="Arial"/>
        <color theme="1"/>
        <sz val="10.0"/>
      </rPr>
      <t>ato</t>
    </r>
  </si>
  <si>
    <r>
      <rPr>
        <rFont val="Arial"/>
        <color theme="1"/>
        <sz val="10.0"/>
      </rPr>
      <t>awa</t>
    </r>
    <r>
      <rPr>
        <rFont val="Arial"/>
        <color rgb="FFFF0000"/>
        <sz val="10.0"/>
      </rPr>
      <t>g</t>
    </r>
    <r>
      <rPr>
        <rFont val="Arial"/>
        <color theme="1"/>
        <sz val="10.0"/>
      </rPr>
      <t>om</t>
    </r>
  </si>
  <si>
    <t>preguiçoso</t>
  </si>
  <si>
    <t>awagom/preguiçoso.wav</t>
  </si>
  <si>
    <t>I</t>
  </si>
  <si>
    <r>
      <rPr>
        <rFont val="Arial"/>
        <color theme="1"/>
        <sz val="10.0"/>
      </rPr>
      <t>bur</t>
    </r>
    <r>
      <rPr>
        <rFont val="Arial"/>
        <color rgb="FFFF0000"/>
        <sz val="10.0"/>
      </rPr>
      <t>i</t>
    </r>
    <r>
      <rPr>
        <rFont val="Arial"/>
        <color theme="1"/>
        <sz val="10.0"/>
      </rPr>
      <t>t</t>
    </r>
    <r>
      <rPr>
        <rFont val="Arial"/>
        <color rgb="FFFF0000"/>
        <sz val="10.0"/>
      </rPr>
      <t>i</t>
    </r>
  </si>
  <si>
    <r>
      <rPr>
        <rFont val="Arial"/>
        <color rgb="FFFF0000"/>
        <sz val="10.0"/>
      </rPr>
      <t>i</t>
    </r>
    <r>
      <rPr>
        <rFont val="Arial"/>
        <color theme="1"/>
        <sz val="10.0"/>
      </rPr>
      <t>ko</t>
    </r>
  </si>
  <si>
    <t>urucum</t>
  </si>
  <si>
    <t>iko/urucum.wav</t>
  </si>
  <si>
    <t>Ĩ</t>
  </si>
  <si>
    <r>
      <rPr>
        <rFont val="Arial"/>
        <color theme="1"/>
        <sz val="10.0"/>
      </rPr>
      <t>t</t>
    </r>
    <r>
      <rPr>
        <rFont val="Arial"/>
        <color rgb="FFFF0000"/>
        <sz val="10.0"/>
      </rPr>
      <t>in</t>
    </r>
    <r>
      <rPr>
        <rFont val="Arial"/>
        <color theme="1"/>
        <sz val="10.0"/>
      </rPr>
      <t>ta</t>
    </r>
  </si>
  <si>
    <r>
      <rPr>
        <rFont val="Arial"/>
        <color theme="1"/>
        <sz val="10.0"/>
      </rPr>
      <t>t</t>
    </r>
    <r>
      <rPr>
        <rFont val="Arial"/>
        <color rgb="FFFF0000"/>
        <sz val="10.0"/>
      </rPr>
      <t>ĩ</t>
    </r>
    <r>
      <rPr>
        <rFont val="Arial"/>
        <color theme="1"/>
        <sz val="10.0"/>
      </rPr>
      <t>yale</t>
    </r>
  </si>
  <si>
    <t>carapanã</t>
  </si>
  <si>
    <t>mosquito</t>
  </si>
  <si>
    <t>tĩyale/carapanã.wav</t>
  </si>
  <si>
    <t>K</t>
  </si>
  <si>
    <r>
      <rPr>
        <rFont val="Arial"/>
        <color rgb="FFFF0000"/>
        <sz val="10.0"/>
      </rPr>
      <t>c</t>
    </r>
    <r>
      <rPr>
        <rFont val="Arial"/>
        <color theme="1"/>
        <sz val="10.0"/>
      </rPr>
      <t>as</t>
    </r>
    <r>
      <rPr>
        <rFont val="Arial"/>
        <color rgb="FFFF0000"/>
        <sz val="10.0"/>
      </rPr>
      <t>c</t>
    </r>
    <r>
      <rPr>
        <rFont val="Arial"/>
        <color theme="1"/>
        <sz val="10.0"/>
      </rPr>
      <t>a</t>
    </r>
  </si>
  <si>
    <r>
      <rPr>
        <rFont val="Arial"/>
        <color rgb="FFFF0000"/>
        <sz val="10.0"/>
      </rPr>
      <t>k</t>
    </r>
    <r>
      <rPr>
        <rFont val="Arial"/>
        <color rgb="FF000000"/>
        <sz val="10.0"/>
      </rPr>
      <t>ak</t>
    </r>
  </si>
  <si>
    <t>mingau</t>
  </si>
  <si>
    <t>kak/mingau.wav</t>
  </si>
  <si>
    <t>L</t>
  </si>
  <si>
    <r>
      <rPr>
        <rFont val="Arial"/>
        <color rgb="FFFF0000"/>
      </rPr>
      <t>l</t>
    </r>
    <r>
      <rPr>
        <rFont val="Arial"/>
        <color theme="1"/>
      </rPr>
      <t>eite</t>
    </r>
  </si>
  <si>
    <r>
      <rPr>
        <rFont val="Arial"/>
        <color theme="1"/>
      </rPr>
      <t>nja</t>
    </r>
    <r>
      <rPr>
        <rFont val="Arial"/>
        <color rgb="FFFF0000"/>
      </rPr>
      <t>l</t>
    </r>
    <r>
      <rPr>
        <rFont val="Arial"/>
        <color theme="1"/>
      </rPr>
      <t>iwo</t>
    </r>
  </si>
  <si>
    <t>colher</t>
  </si>
  <si>
    <t>spoon</t>
  </si>
  <si>
    <t>njaliwo/colher.wav</t>
  </si>
  <si>
    <t>M</t>
  </si>
  <si>
    <r>
      <rPr>
        <rFont val="Arial"/>
        <color rgb="FFFF0000"/>
      </rPr>
      <t>m</t>
    </r>
    <r>
      <rPr>
        <rFont val="Arial"/>
        <color theme="1"/>
      </rPr>
      <t>ato</t>
    </r>
  </si>
  <si>
    <r>
      <rPr>
        <rFont val="Arial"/>
        <b val="0"/>
        <color rgb="FFFF0000"/>
      </rPr>
      <t>m</t>
    </r>
    <r>
      <rPr>
        <rFont val="Arial"/>
        <b val="0"/>
        <color rgb="FF000000"/>
      </rPr>
      <t>itõ</t>
    </r>
  </si>
  <si>
    <t>mutum</t>
  </si>
  <si>
    <t>mitõ/mutum.wav</t>
  </si>
  <si>
    <t>MB</t>
  </si>
  <si>
    <r>
      <rPr>
        <rFont val="Arial"/>
        <color rgb="FFFF0000"/>
      </rPr>
      <t>mb</t>
    </r>
    <r>
      <rPr>
        <rFont val="Arial"/>
        <color theme="1"/>
      </rPr>
      <t>eku</t>
    </r>
  </si>
  <si>
    <t>cana-de-açúcar</t>
  </si>
  <si>
    <t xml:space="preserve">cana-de-açúcar </t>
  </si>
  <si>
    <t>mbeku/cana-de-açúcar.wav</t>
  </si>
  <si>
    <t>N</t>
  </si>
  <si>
    <r>
      <rPr>
        <rFont val="Arial"/>
        <color rgb="FFFF0000"/>
      </rPr>
      <t>n</t>
    </r>
    <r>
      <rPr>
        <rFont val="Arial"/>
        <color theme="1"/>
      </rPr>
      <t>oite</t>
    </r>
  </si>
  <si>
    <r>
      <rPr>
        <rFont val="Arial"/>
        <color rgb="FFFF0000"/>
      </rPr>
      <t>n</t>
    </r>
    <r>
      <rPr>
        <rFont val="Arial"/>
        <color theme="1"/>
      </rPr>
      <t>ãkowut</t>
    </r>
  </si>
  <si>
    <t>rapaz</t>
  </si>
  <si>
    <t>nãkowut/rapaz.wav</t>
  </si>
  <si>
    <t>ND</t>
  </si>
  <si>
    <r>
      <rPr>
        <rFont val="Arial"/>
        <color theme="1"/>
      </rPr>
      <t>a</t>
    </r>
    <r>
      <rPr>
        <rFont val="Arial"/>
        <color rgb="FFFF0000"/>
      </rPr>
      <t>nd</t>
    </r>
    <r>
      <rPr>
        <rFont val="Arial"/>
        <color theme="1"/>
      </rPr>
      <t>ar</t>
    </r>
  </si>
  <si>
    <r>
      <rPr>
        <rFont val="Arial"/>
        <color rgb="FFFF0000"/>
      </rPr>
      <t>nd</t>
    </r>
    <r>
      <rPr>
        <rFont val="Arial"/>
        <color theme="1"/>
      </rPr>
      <t>ut</t>
    </r>
    <r>
      <rPr>
        <rFont val="Arial"/>
        <color rgb="FFFF0000"/>
      </rPr>
      <t>nd</t>
    </r>
    <r>
      <rPr>
        <rFont val="Arial"/>
        <color theme="1"/>
      </rPr>
      <t>a</t>
    </r>
  </si>
  <si>
    <t>cacau</t>
  </si>
  <si>
    <t>ndutnda/cacau.wav</t>
  </si>
  <si>
    <t>NG</t>
  </si>
  <si>
    <r>
      <rPr>
        <rFont val="Arial"/>
        <color theme="1"/>
      </rPr>
      <t>ma</t>
    </r>
    <r>
      <rPr>
        <rFont val="Arial"/>
        <color rgb="FFFF0000"/>
      </rPr>
      <t>ng</t>
    </r>
    <r>
      <rPr>
        <rFont val="Arial"/>
        <color theme="1"/>
      </rPr>
      <t>a</t>
    </r>
  </si>
  <si>
    <r>
      <rPr>
        <rFont val="Arial"/>
        <color rgb="FFFF0000"/>
      </rPr>
      <t>ng</t>
    </r>
    <r>
      <rPr>
        <rFont val="Arial"/>
        <color theme="1"/>
      </rPr>
      <t>eyto</t>
    </r>
  </si>
  <si>
    <t>vento</t>
  </si>
  <si>
    <t>ngeyto/vento.wav</t>
  </si>
  <si>
    <t>NJ</t>
  </si>
  <si>
    <r>
      <rPr>
        <rFont val="Arial"/>
        <b val="0"/>
        <color rgb="FFFF0000"/>
      </rPr>
      <t>nj</t>
    </r>
    <r>
      <rPr>
        <rFont val="Arial"/>
        <b val="0"/>
        <color rgb="FF000000"/>
      </rPr>
      <t>alule</t>
    </r>
  </si>
  <si>
    <t>borboleta</t>
  </si>
  <si>
    <t>njalule/borboleta.wav</t>
  </si>
  <si>
    <t>O</t>
  </si>
  <si>
    <r>
      <rPr>
        <rFont val="Arial"/>
        <color rgb="FFFF0000"/>
      </rPr>
      <t>o</t>
    </r>
    <r>
      <rPr>
        <rFont val="Arial"/>
        <color theme="1"/>
      </rPr>
      <t>lh</t>
    </r>
    <r>
      <rPr>
        <rFont val="Arial"/>
        <color rgb="FFFF0000"/>
      </rPr>
      <t>o</t>
    </r>
  </si>
  <si>
    <r>
      <rPr>
        <rFont val="Arial"/>
        <color theme="1"/>
      </rPr>
      <t>mb</t>
    </r>
    <r>
      <rPr>
        <rFont val="Arial"/>
        <color rgb="FFFF0000"/>
      </rPr>
      <t>o</t>
    </r>
    <r>
      <rPr>
        <rFont val="Arial"/>
        <color theme="1"/>
      </rPr>
      <t>k</t>
    </r>
    <r>
      <rPr>
        <rFont val="Arial"/>
        <color rgb="FFFF0000"/>
      </rPr>
      <t>o</t>
    </r>
    <r>
      <rPr>
        <rFont val="Arial"/>
        <color theme="1"/>
      </rPr>
      <t>w</t>
    </r>
    <r>
      <rPr>
        <rFont val="Arial"/>
        <color rgb="FFFF0000"/>
      </rPr>
      <t>o</t>
    </r>
    <r>
      <rPr>
        <rFont val="Arial"/>
        <color theme="1"/>
      </rPr>
      <t>t</t>
    </r>
  </si>
  <si>
    <t>aranha</t>
  </si>
  <si>
    <t>mbokowot/aranha.wav</t>
  </si>
  <si>
    <t>Õ</t>
  </si>
  <si>
    <r>
      <rPr>
        <rFont val="Arial"/>
        <color rgb="FFFF0000"/>
      </rPr>
      <t>on</t>
    </r>
    <r>
      <rPr>
        <rFont val="Arial"/>
        <color theme="1"/>
      </rPr>
      <t>tem</t>
    </r>
  </si>
  <si>
    <r>
      <rPr>
        <rFont val="Arial"/>
        <color theme="1"/>
      </rPr>
      <t>pali</t>
    </r>
    <r>
      <rPr>
        <rFont val="Arial"/>
        <color rgb="FFFF0000"/>
      </rPr>
      <t>õ</t>
    </r>
    <r>
      <rPr>
        <rFont val="Arial"/>
        <color theme="1"/>
      </rPr>
      <t>n</t>
    </r>
  </si>
  <si>
    <t>gavião</t>
  </si>
  <si>
    <t>paliõn/gavião.wav</t>
  </si>
  <si>
    <t>P</t>
  </si>
  <si>
    <r>
      <rPr>
        <rFont val="Arial"/>
        <color rgb="FFFF0000"/>
      </rPr>
      <t>p</t>
    </r>
    <r>
      <rPr>
        <rFont val="Arial"/>
        <color theme="1"/>
      </rPr>
      <t>anela</t>
    </r>
  </si>
  <si>
    <r>
      <rPr>
        <rFont val="Arial"/>
        <color rgb="FFFF0000"/>
      </rPr>
      <t>p</t>
    </r>
    <r>
      <rPr>
        <rFont val="Arial"/>
        <color theme="1"/>
      </rPr>
      <t>otka</t>
    </r>
    <r>
      <rPr>
        <rFont val="Arial"/>
        <color rgb="FFFF0000"/>
      </rPr>
      <t>p</t>
    </r>
  </si>
  <si>
    <t>peixe</t>
  </si>
  <si>
    <t>potkap/peixe.wav</t>
  </si>
  <si>
    <t>R</t>
  </si>
  <si>
    <r>
      <rPr>
        <rFont val="Arial"/>
        <color theme="1"/>
      </rPr>
      <t>a</t>
    </r>
    <r>
      <rPr>
        <rFont val="Arial"/>
        <color rgb="FFFF0000"/>
      </rPr>
      <t>r</t>
    </r>
    <r>
      <rPr>
        <rFont val="Arial"/>
        <color theme="1"/>
      </rPr>
      <t>eia</t>
    </r>
  </si>
  <si>
    <r>
      <rPr>
        <rFont val="Arial"/>
        <color theme="1"/>
      </rPr>
      <t>wo</t>
    </r>
    <r>
      <rPr>
        <rFont val="Arial"/>
        <color rgb="FFFF0000"/>
      </rPr>
      <t>r</t>
    </r>
    <r>
      <rPr>
        <rFont val="Arial"/>
        <color theme="1"/>
      </rPr>
      <t>api</t>
    </r>
  </si>
  <si>
    <t>boca</t>
  </si>
  <si>
    <t>worapi/boca.wav</t>
  </si>
  <si>
    <t>T</t>
  </si>
  <si>
    <r>
      <rPr>
        <rFont val="Arial"/>
        <color rgb="FFFF0000"/>
      </rPr>
      <t>t</t>
    </r>
    <r>
      <rPr>
        <rFont val="Arial"/>
        <color theme="1"/>
      </rPr>
      <t>a</t>
    </r>
    <r>
      <rPr>
        <rFont val="Arial"/>
        <color rgb="FFFF0000"/>
      </rPr>
      <t>t</t>
    </r>
    <r>
      <rPr>
        <rFont val="Arial"/>
        <color theme="1"/>
      </rPr>
      <t>u</t>
    </r>
  </si>
  <si>
    <r>
      <rPr>
        <rFont val="Arial"/>
        <color rgb="FFFF0000"/>
      </rPr>
      <t>t</t>
    </r>
    <r>
      <rPr>
        <rFont val="Arial"/>
        <color theme="1"/>
      </rPr>
      <t>i</t>
    </r>
    <r>
      <rPr>
        <rFont val="Arial"/>
        <color rgb="FFFF0000"/>
      </rPr>
      <t>t</t>
    </r>
    <r>
      <rPr>
        <rFont val="Arial"/>
        <color theme="1"/>
      </rPr>
      <t>i</t>
    </r>
  </si>
  <si>
    <t>vovó</t>
  </si>
  <si>
    <t>titi/vovó.wav</t>
  </si>
  <si>
    <t>U</t>
  </si>
  <si>
    <r>
      <rPr>
        <rFont val="Arial"/>
        <color rgb="FFFF0000"/>
      </rPr>
      <t>u</t>
    </r>
    <r>
      <rPr>
        <rFont val="Arial"/>
        <color theme="1"/>
      </rPr>
      <t>ax</t>
    </r>
  </si>
  <si>
    <t>anta</t>
  </si>
  <si>
    <t>uax/anta.wav</t>
  </si>
  <si>
    <t>Ũ</t>
  </si>
  <si>
    <r>
      <rPr>
        <rFont val="Arial"/>
        <color theme="1"/>
      </rPr>
      <t>at</t>
    </r>
    <r>
      <rPr>
        <rFont val="Arial"/>
        <color rgb="FFFF0000"/>
      </rPr>
      <t>um</t>
    </r>
  </si>
  <si>
    <t>cabelo</t>
  </si>
  <si>
    <t>atum/cabelo.wav</t>
  </si>
  <si>
    <t>W</t>
  </si>
  <si>
    <r>
      <rPr>
        <rFont val="Arial"/>
        <color rgb="FFFF0000"/>
      </rPr>
      <t>w</t>
    </r>
    <r>
      <rPr>
        <rFont val="Arial"/>
        <color theme="1"/>
      </rPr>
      <t>otkup</t>
    </r>
  </si>
  <si>
    <t>pescoço</t>
  </si>
  <si>
    <t>wotkup/pescoço.wav</t>
  </si>
  <si>
    <t>X</t>
  </si>
  <si>
    <r>
      <rPr>
        <rFont val="Arial"/>
        <color rgb="FFFF0000"/>
      </rPr>
      <t>tch</t>
    </r>
    <r>
      <rPr>
        <rFont val="Arial"/>
        <color theme="1"/>
      </rPr>
      <t>au</t>
    </r>
  </si>
  <si>
    <r>
      <rPr>
        <rFont val="Arial"/>
        <color rgb="FFFF0000"/>
      </rPr>
      <t>x</t>
    </r>
    <r>
      <rPr>
        <rFont val="Arial"/>
        <color theme="1"/>
      </rPr>
      <t>ambi</t>
    </r>
  </si>
  <si>
    <t>semente</t>
  </si>
  <si>
    <t>xambi/semente.wav</t>
  </si>
  <si>
    <t>Y</t>
  </si>
  <si>
    <r>
      <rPr>
        <rFont val="Arial"/>
        <color theme="1"/>
      </rPr>
      <t>sa</t>
    </r>
    <r>
      <rPr>
        <rFont val="Arial"/>
        <color rgb="FFFF0000"/>
      </rPr>
      <t>i</t>
    </r>
    <r>
      <rPr>
        <rFont val="Arial"/>
        <color theme="1"/>
      </rPr>
      <t>a</t>
    </r>
  </si>
  <si>
    <r>
      <rPr>
        <rFont val="Arial"/>
        <color rgb="FFFF0000"/>
      </rPr>
      <t>y</t>
    </r>
    <r>
      <rPr>
        <rFont val="Arial"/>
        <color theme="1"/>
      </rPr>
      <t>õkan</t>
    </r>
  </si>
  <si>
    <t>tucano</t>
  </si>
  <si>
    <t>yõkan/tucano.wav</t>
  </si>
  <si>
    <t>Palavras mais frequentes</t>
  </si>
  <si>
    <t>sol</t>
  </si>
  <si>
    <t>lua</t>
  </si>
  <si>
    <t>noite</t>
  </si>
  <si>
    <t>dia</t>
  </si>
  <si>
    <t>type</t>
  </si>
  <si>
    <t>question</t>
  </si>
  <si>
    <t>answer_2</t>
  </si>
  <si>
    <t>answer_3</t>
  </si>
  <si>
    <t>answerTiles</t>
  </si>
  <si>
    <t>correctAnswer</t>
  </si>
  <si>
    <t>Resposta</t>
  </si>
  <si>
    <t>SELECT_1_OF_3</t>
  </si>
  <si>
    <t>Qual é kito?</t>
  </si>
  <si>
    <t>https://cdn1.vectorstock.com/i/1000x1000/74/95/cartoon-of-kawaii-cute-older-man-vector-24137495.jpg</t>
  </si>
  <si>
    <t>https://cdn-icons-png.freepik.com/256/5990/5990595.png?semt=ais_hybrid</t>
  </si>
  <si>
    <t>https://i.pinimg.com/originals/a7/64/24/a76424b3f597ef1d78fd0a8db0f8c966.png</t>
  </si>
  <si>
    <t>homem</t>
  </si>
  <si>
    <t>Qual é kup?</t>
  </si>
  <si>
    <t>arvore</t>
  </si>
  <si>
    <t>Qual é karo?</t>
  </si>
  <si>
    <t>https://i.pinimg.com/originals/7c/f9/19/7cf91994f7b4feab11b5671109490207.png</t>
  </si>
  <si>
    <t>SELECT_1_OF_4</t>
  </si>
  <si>
    <t>Qual é arãpiyã?</t>
  </si>
  <si>
    <t>mulher</t>
  </si>
  <si>
    <t>SELECT_1_OF_5</t>
  </si>
  <si>
    <t>Qual é potkap?</t>
  </si>
  <si>
    <t>SELECT_1_OF_6</t>
  </si>
  <si>
    <t>bicho</t>
  </si>
  <si>
    <r>
      <rPr>
        <rFont val="Arial"/>
        <color theme="1"/>
      </rPr>
      <t>bar</t>
    </r>
    <r>
      <rPr>
        <rFont val="Arial"/>
        <b/>
        <color theme="1"/>
      </rPr>
      <t>e</t>
    </r>
    <r>
      <rPr>
        <rFont val="Arial"/>
        <color theme="1"/>
      </rPr>
      <t>ge</t>
    </r>
  </si>
  <si>
    <t>SELECT_1_OF_7</t>
  </si>
  <si>
    <t>Qual é uax?</t>
  </si>
  <si>
    <t>SELECT_1_OF_8</t>
  </si>
  <si>
    <t>Qual é xaote?</t>
  </si>
  <si>
    <t>queixada</t>
  </si>
  <si>
    <t>Qual é nãkowut?</t>
  </si>
  <si>
    <t>SELECT_1_OF_9</t>
  </si>
  <si>
    <t>Qual é yãyom?</t>
  </si>
  <si>
    <t>moça</t>
  </si>
  <si>
    <t>SELECT_1_OF_10</t>
  </si>
  <si>
    <t>menino</t>
  </si>
  <si>
    <t>etore</t>
  </si>
  <si>
    <t>SELECT_1_OF_11</t>
  </si>
  <si>
    <t>ancião</t>
  </si>
  <si>
    <t>paopegamage</t>
  </si>
  <si>
    <t>SELECT_1_OF_12</t>
  </si>
  <si>
    <t>anciã</t>
  </si>
  <si>
    <t>pajepegamage</t>
  </si>
  <si>
    <t>SELECT_1_OF_13</t>
  </si>
  <si>
    <t>Qual é ameko?</t>
  </si>
  <si>
    <t>cachorro</t>
  </si>
  <si>
    <t>SELECT_1_OF_14</t>
  </si>
  <si>
    <t>SELECT_1_OF_15</t>
  </si>
  <si>
    <t>Qual é axexu?</t>
  </si>
  <si>
    <t>roupa</t>
  </si>
  <si>
    <t>Qual é ek?</t>
  </si>
  <si>
    <t>casa</t>
  </si>
  <si>
    <t>Qual é u?</t>
  </si>
  <si>
    <t>água</t>
  </si>
  <si>
    <t>dinheiro/metal</t>
  </si>
  <si>
    <t>Qual é oxat?</t>
  </si>
  <si>
    <t>fogo</t>
  </si>
  <si>
    <t>-</t>
  </si>
  <si>
    <t>ceu</t>
  </si>
  <si>
    <t>macaco</t>
  </si>
  <si>
    <t>jukoe</t>
  </si>
  <si>
    <t>Qual é ape?</t>
  </si>
  <si>
    <t>caminho/estrada</t>
  </si>
  <si>
    <t>Qual é kup-xiret?</t>
  </si>
  <si>
    <t>flor</t>
  </si>
  <si>
    <t>Qual é ekup?</t>
  </si>
  <si>
    <t>flecha</t>
  </si>
  <si>
    <t>fruta</t>
  </si>
  <si>
    <t>Qual é apixep?</t>
  </si>
  <si>
    <t>orelha</t>
  </si>
  <si>
    <t>pedra</t>
  </si>
  <si>
    <t>pernilongo/mosquito</t>
  </si>
  <si>
    <t>Qual é kãy?</t>
  </si>
  <si>
    <t>quente</t>
  </si>
  <si>
    <t>Qual é xaang?</t>
  </si>
  <si>
    <t>frio</t>
  </si>
  <si>
    <t>triste</t>
  </si>
  <si>
    <t>Qual é ngitak?</t>
  </si>
  <si>
    <t>Qual é ngeat?</t>
  </si>
  <si>
    <t>Qual é oli?</t>
  </si>
  <si>
    <t>WRITE_IN_ENGLISH</t>
  </si>
  <si>
    <t>Minha casa</t>
  </si>
  <si>
    <t>oxeget</t>
  </si>
  <si>
    <t>Sua (Tua) casa</t>
  </si>
  <si>
    <t>exeget</t>
  </si>
  <si>
    <t>A casa dela</t>
  </si>
  <si>
    <t>teget</t>
  </si>
  <si>
    <t>Nossa casa (inclui o ouvinte)</t>
  </si>
  <si>
    <t>Nossa casa (exclui o ouvinte)</t>
  </si>
  <si>
    <t>A casa de vocês</t>
  </si>
  <si>
    <t>A casa de deles</t>
  </si>
  <si>
    <t xml:space="preserve">A sua própria casa </t>
  </si>
  <si>
    <t>a mulher faz esteira</t>
  </si>
  <si>
    <t>ira nãwixet arãpiyã</t>
  </si>
  <si>
    <t>["ira", "wirixa", nãwixet", "ororo", "arãpiyã]</t>
  </si>
  <si>
    <t>[0, 2, 4] [4, 0, 2]</t>
  </si>
  <si>
    <t>agora ficou bonito</t>
  </si>
  <si>
    <t>yemã poaten</t>
  </si>
  <si>
    <t>["ira", "yemã", nãwixet", "poaten", "arãpiyã]</t>
  </si>
  <si>
    <t>[1, 3]</t>
  </si>
  <si>
    <t>eu estou bem</t>
  </si>
  <si>
    <t>on koa poaten</t>
  </si>
  <si>
    <t>["on", "poaten", titi", "merowã", "koa]</t>
  </si>
  <si>
    <t>[0, 4, 1]</t>
  </si>
  <si>
    <t>ele está fazendo taquara</t>
  </si>
  <si>
    <t>ekup nãwixet</t>
  </si>
  <si>
    <t>["xato", "nãwixet", ekup", "kak", "utu]</t>
  </si>
  <si>
    <t>[2, 1]</t>
  </si>
  <si>
    <t>vamos jogar bola</t>
  </si>
  <si>
    <t>yẽmo mbambap wuwa</t>
  </si>
  <si>
    <t>["wuwa", "yẽmo", orokone", "ndoko", "mbambap]</t>
  </si>
  <si>
    <t>[1, 4, 0]</t>
  </si>
  <si>
    <t>carrego criança na tipoia</t>
  </si>
  <si>
    <t>xaip apatpara epuytmbe</t>
  </si>
  <si>
    <t>["epuytmbe", "ek", xaip", "apatpara", "arãpiyã]</t>
  </si>
  <si>
    <t>[2, 3, 0]</t>
  </si>
  <si>
    <t>Não há diferença antre ko e kowyje</t>
  </si>
  <si>
    <t>estou chorando</t>
  </si>
  <si>
    <t>on yinkori</t>
  </si>
  <si>
    <t>["yãy", "yinkori", mbeku", "on", "arao]</t>
  </si>
  <si>
    <t>[3, 1]</t>
  </si>
  <si>
    <t>a mulher está quebrando tucumã</t>
  </si>
  <si>
    <t>arãpiyã orokone pagepa</t>
  </si>
  <si>
    <t>["pagepa", "arãpiyã", paray", "amãyã", "orokone]</t>
  </si>
  <si>
    <t>agora está pronto</t>
  </si>
  <si>
    <t>yemã kemõ</t>
  </si>
  <si>
    <t>["xat", "kemõ", yemã", "ororo", "kito]</t>
  </si>
  <si>
    <t>a mulher está fazendo esteira</t>
  </si>
  <si>
    <t>abanar/abano</t>
  </si>
  <si>
    <t>pupugaet</t>
  </si>
  <si>
    <t>açaí</t>
  </si>
  <si>
    <t>wirixa</t>
  </si>
  <si>
    <t>acessório em formato de flor para colocar no cabelo</t>
  </si>
  <si>
    <t>tintinga</t>
  </si>
  <si>
    <t>acessório para segurar o cabelo</t>
  </si>
  <si>
    <t>atintekae</t>
  </si>
  <si>
    <t>agora</t>
  </si>
  <si>
    <t>yingekiri</t>
  </si>
  <si>
    <t>água/rio</t>
  </si>
  <si>
    <t>u</t>
  </si>
  <si>
    <t>aí mesmo</t>
  </si>
  <si>
    <t>xerõpe</t>
  </si>
  <si>
    <t>ajeitar</t>
  </si>
  <si>
    <t>poanga</t>
  </si>
  <si>
    <t>algodão</t>
  </si>
  <si>
    <t>ororo</t>
  </si>
  <si>
    <t>amanhã</t>
  </si>
  <si>
    <t>wakamõ</t>
  </si>
  <si>
    <t>amarelo</t>
  </si>
  <si>
    <t>paray</t>
  </si>
  <si>
    <t>amendoim</t>
  </si>
  <si>
    <t>arawu</t>
  </si>
  <si>
    <t>andar</t>
  </si>
  <si>
    <t>kupna</t>
  </si>
  <si>
    <t>anel de coco</t>
  </si>
  <si>
    <t>monerao</t>
  </si>
  <si>
    <t>uax</t>
  </si>
  <si>
    <t>mbokowot</t>
  </si>
  <si>
    <t>arco</t>
  </si>
  <si>
    <t>komboi</t>
  </si>
  <si>
    <t>arco-íris</t>
  </si>
  <si>
    <t>mboxato</t>
  </si>
  <si>
    <t>aricuri</t>
  </si>
  <si>
    <t>ora</t>
  </si>
  <si>
    <t>assar</t>
  </si>
  <si>
    <t>apetira</t>
  </si>
  <si>
    <t>assim mesmo</t>
  </si>
  <si>
    <t>xotẽwixet</t>
  </si>
  <si>
    <t>balaio</t>
  </si>
  <si>
    <t>apkenren</t>
  </si>
  <si>
    <t>banco do pajé</t>
  </si>
  <si>
    <t>mamõap yãpet</t>
  </si>
  <si>
    <t>barbante</t>
  </si>
  <si>
    <t>wadmoen</t>
  </si>
  <si>
    <t>batata</t>
  </si>
  <si>
    <t>wawo</t>
  </si>
  <si>
    <t>batom</t>
  </si>
  <si>
    <t>ndua</t>
  </si>
  <si>
    <t>beber (embriagar-se)</t>
  </si>
  <si>
    <t>xewuka</t>
  </si>
  <si>
    <t>beija-flor</t>
  </si>
  <si>
    <t>liin</t>
  </si>
  <si>
    <t>bico</t>
  </si>
  <si>
    <t>yãkape</t>
  </si>
  <si>
    <t>bicho-preguiça</t>
  </si>
  <si>
    <t>aonda</t>
  </si>
  <si>
    <t>worapi</t>
  </si>
  <si>
    <t>bochecha</t>
  </si>
  <si>
    <t>xanjape</t>
  </si>
  <si>
    <t>bom dia</t>
  </si>
  <si>
    <t>en bo na em</t>
  </si>
  <si>
    <t>bonitinho</t>
  </si>
  <si>
    <t>poatemin</t>
  </si>
  <si>
    <t>bonito</t>
  </si>
  <si>
    <t>ateii</t>
  </si>
  <si>
    <t>atu</t>
  </si>
  <si>
    <t>njalule</t>
  </si>
  <si>
    <t>bravo</t>
  </si>
  <si>
    <t>waga</t>
  </si>
  <si>
    <t>breu</t>
  </si>
  <si>
    <t>mãtote</t>
  </si>
  <si>
    <t>akapti</t>
  </si>
  <si>
    <t>buraco</t>
  </si>
  <si>
    <t>kupnye</t>
  </si>
  <si>
    <t>buriti</t>
  </si>
  <si>
    <t>torom</t>
  </si>
  <si>
    <t>cabeça dele</t>
  </si>
  <si>
    <t>njakaret</t>
  </si>
  <si>
    <t>atum</t>
  </si>
  <si>
    <t>cabo utilizado para trançar tucum/buriti</t>
  </si>
  <si>
    <t>tekaret</t>
  </si>
  <si>
    <t>caça</t>
  </si>
  <si>
    <t>xewarop</t>
  </si>
  <si>
    <t>ndunda</t>
  </si>
  <si>
    <t>cachaça</t>
  </si>
  <si>
    <t>erexewut</t>
  </si>
  <si>
    <t>caco (de torrar milho)</t>
  </si>
  <si>
    <t>pem</t>
  </si>
  <si>
    <t>caminho da saúva (ponto de costura)</t>
  </si>
  <si>
    <t>mingpet</t>
  </si>
  <si>
    <t>caminho</t>
  </si>
  <si>
    <t>pe</t>
  </si>
  <si>
    <t>mbeku</t>
  </si>
  <si>
    <t>cará</t>
  </si>
  <si>
    <t>xewa</t>
  </si>
  <si>
    <t>caracol</t>
  </si>
  <si>
    <t>xarea</t>
  </si>
  <si>
    <t>caranguejo</t>
  </si>
  <si>
    <t>amãyã</t>
  </si>
  <si>
    <t>tĩyale</t>
  </si>
  <si>
    <t>carrapato</t>
  </si>
  <si>
    <t>nẽro</t>
  </si>
  <si>
    <t>ek</t>
  </si>
  <si>
    <t>casca de árvore</t>
  </si>
  <si>
    <t>kup ape</t>
  </si>
  <si>
    <t>casca de uma espécie árvore</t>
  </si>
  <si>
    <t>karipé (português)</t>
  </si>
  <si>
    <t>arao</t>
  </si>
  <si>
    <t>cavalo/burro</t>
  </si>
  <si>
    <t>mboro</t>
  </si>
  <si>
    <t>chapéu</t>
  </si>
  <si>
    <t>axaupe</t>
  </si>
  <si>
    <t>chegar</t>
  </si>
  <si>
    <t>awagora</t>
  </si>
  <si>
    <t>chicha</t>
  </si>
  <si>
    <t>mbayi</t>
  </si>
  <si>
    <t>chicha de cará</t>
  </si>
  <si>
    <t>xewawu</t>
  </si>
  <si>
    <t>chicha de mandioca</t>
  </si>
  <si>
    <t>manywu</t>
  </si>
  <si>
    <t>chifre</t>
  </si>
  <si>
    <t>apikup</t>
  </si>
  <si>
    <t>chorar</t>
  </si>
  <si>
    <t>yinkot</t>
  </si>
  <si>
    <t>chuva</t>
  </si>
  <si>
    <t>uekara</t>
  </si>
  <si>
    <t>cofo</t>
  </si>
  <si>
    <t>ira</t>
  </si>
  <si>
    <t>njaliwo</t>
  </si>
  <si>
    <t>colocar.cabo</t>
  </si>
  <si>
    <t>kunga</t>
  </si>
  <si>
    <t>com</t>
  </si>
  <si>
    <t>erete</t>
  </si>
  <si>
    <t>comida feita com castanha verde amassada e misturada com carne</t>
  </si>
  <si>
    <t>kaykõm</t>
  </si>
  <si>
    <t>comprido</t>
  </si>
  <si>
    <t>kãrang</t>
  </si>
  <si>
    <t>corda de amarrar na testa</t>
  </si>
  <si>
    <t>yapat parãna</t>
  </si>
  <si>
    <t>corda do marico</t>
  </si>
  <si>
    <t>exi parãna</t>
  </si>
  <si>
    <t>cortar</t>
  </si>
  <si>
    <t>ndenga</t>
  </si>
  <si>
    <t>coruja</t>
  </si>
  <si>
    <t>waaga/popowa</t>
  </si>
  <si>
    <t>costela de peixe (ponto de costura)</t>
  </si>
  <si>
    <t>potkap kereyet</t>
  </si>
  <si>
    <t>criançada</t>
  </si>
  <si>
    <t>xaupyãy</t>
  </si>
  <si>
    <t>dente</t>
  </si>
  <si>
    <t>yãy</t>
  </si>
  <si>
    <t>derramar</t>
  </si>
  <si>
    <t>paxap</t>
  </si>
  <si>
    <t>derrubar</t>
  </si>
  <si>
    <t>mopakara</t>
  </si>
  <si>
    <t>descascar (tucumã)</t>
  </si>
  <si>
    <t>yopeingepa</t>
  </si>
  <si>
    <t>descer/cair</t>
  </si>
  <si>
    <t>ekara</t>
  </si>
  <si>
    <t>desenhar</t>
  </si>
  <si>
    <t>ngixat</t>
  </si>
  <si>
    <t>ekup nawixet</t>
  </si>
  <si>
    <t>ele fez bem</t>
  </si>
  <si>
    <t>poaten wixetna</t>
  </si>
  <si>
    <t>ele passou a cera na corda</t>
  </si>
  <si>
    <t>kuya mãtote mõ</t>
  </si>
  <si>
    <t>enfeitar</t>
  </si>
  <si>
    <t>enrolar</t>
  </si>
  <si>
    <t>apãrã</t>
  </si>
  <si>
    <t>entrar</t>
  </si>
  <si>
    <t>omuã</t>
  </si>
  <si>
    <t>escuro/noite</t>
  </si>
  <si>
    <t>gitak</t>
  </si>
  <si>
    <t>escuro/nublado</t>
  </si>
  <si>
    <t>puk</t>
  </si>
  <si>
    <t>esfregar/girar (para furar o tucumã)</t>
  </si>
  <si>
    <t>kuyato</t>
  </si>
  <si>
    <t>espada de pupunha</t>
  </si>
  <si>
    <t>tutyã kande</t>
  </si>
  <si>
    <t>espelho</t>
  </si>
  <si>
    <t>toap</t>
  </si>
  <si>
    <t>esse/este</t>
  </si>
  <si>
    <t>xop</t>
  </si>
  <si>
    <t>está trovejando</t>
  </si>
  <si>
    <t>mboterimã</t>
  </si>
  <si>
    <t>está.bom/bem</t>
  </si>
  <si>
    <t>poaten</t>
  </si>
  <si>
    <t>está bom/obrigado</t>
  </si>
  <si>
    <t>oaletkoa</t>
  </si>
  <si>
    <t>esteira</t>
  </si>
  <si>
    <t>iãpe</t>
  </si>
  <si>
    <t>eu</t>
  </si>
  <si>
    <t>on</t>
  </si>
  <si>
    <t>eu estou chorando</t>
  </si>
  <si>
    <t>eu saio</t>
  </si>
  <si>
    <t>otera</t>
  </si>
  <si>
    <t>fala</t>
  </si>
  <si>
    <t>moye</t>
  </si>
  <si>
    <t>farinha</t>
  </si>
  <si>
    <t>xau</t>
  </si>
  <si>
    <t>fazendo</t>
  </si>
  <si>
    <t>nãwixet</t>
  </si>
  <si>
    <t>filha de homem</t>
  </si>
  <si>
    <t>kito taget</t>
  </si>
  <si>
    <t>filha de mulher</t>
  </si>
  <si>
    <t>arãpiyã mepiret</t>
  </si>
  <si>
    <t>ekup</t>
  </si>
  <si>
    <t>oxat</t>
  </si>
  <si>
    <t>furar (tucumã)</t>
  </si>
  <si>
    <t>wotga</t>
  </si>
  <si>
    <t>gafanhoto</t>
  </si>
  <si>
    <t>urupa</t>
  </si>
  <si>
    <t>pãriõ</t>
  </si>
  <si>
    <t>gavião-real</t>
  </si>
  <si>
    <t>pãriõ xato</t>
  </si>
  <si>
    <t>gongo</t>
  </si>
  <si>
    <t>ngot</t>
  </si>
  <si>
    <t>grande</t>
  </si>
  <si>
    <t>xato</t>
  </si>
  <si>
    <t>hoje</t>
  </si>
  <si>
    <t>ngekut</t>
  </si>
  <si>
    <t>kito</t>
  </si>
  <si>
    <t>homem não indígena</t>
  </si>
  <si>
    <t>ere</t>
  </si>
  <si>
    <t>instrumento de pesca</t>
  </si>
  <si>
    <t>tin</t>
  </si>
  <si>
    <t>jacaré</t>
  </si>
  <si>
    <t>wato</t>
  </si>
  <si>
    <t>jararaca/cobra</t>
  </si>
  <si>
    <t>xat</t>
  </si>
  <si>
    <t>lama/barro comum</t>
  </si>
  <si>
    <t>kuyka</t>
  </si>
  <si>
    <t>lambari</t>
  </si>
  <si>
    <t>potkawi</t>
  </si>
  <si>
    <t>lavar</t>
  </si>
  <si>
    <t>yoa</t>
  </si>
  <si>
    <t>levantar pescoço para cantar</t>
  </si>
  <si>
    <t>ewukã kãrã</t>
  </si>
  <si>
    <t>língua</t>
  </si>
  <si>
    <t>yuxem</t>
  </si>
  <si>
    <t>lixar</t>
  </si>
  <si>
    <t>kuya</t>
  </si>
  <si>
    <t>lixar/alisar</t>
  </si>
  <si>
    <t>niraiga</t>
  </si>
  <si>
    <t>oli</t>
  </si>
  <si>
    <t>macaco-preto</t>
  </si>
  <si>
    <t>arembo</t>
  </si>
  <si>
    <t>macaco-velho</t>
  </si>
  <si>
    <t>karoroy</t>
  </si>
  <si>
    <t>machado</t>
  </si>
  <si>
    <t>wi</t>
  </si>
  <si>
    <t>machucar chicha (socar macaxeira para fazer chicha)</t>
  </si>
  <si>
    <t>nderewa</t>
  </si>
  <si>
    <t>mamão</t>
  </si>
  <si>
    <t>ngotkup</t>
  </si>
  <si>
    <t>erẽy</t>
  </si>
  <si>
    <t>mão</t>
  </si>
  <si>
    <t>mbo</t>
  </si>
  <si>
    <t>mão de pilar barro</t>
  </si>
  <si>
    <t>xopopoyet</t>
  </si>
  <si>
    <t>mato</t>
  </si>
  <si>
    <t>ngete</t>
  </si>
  <si>
    <t>medroso</t>
  </si>
  <si>
    <t>mbiwa</t>
  </si>
  <si>
    <t>mel</t>
  </si>
  <si>
    <t>tawu</t>
  </si>
  <si>
    <t>perowa</t>
  </si>
  <si>
    <t>imim</t>
  </si>
  <si>
    <t>mesmo (é mesmo?)</t>
  </si>
  <si>
    <t>teytet</t>
  </si>
  <si>
    <t>meu pai</t>
  </si>
  <si>
    <t>oxoet</t>
  </si>
  <si>
    <t>milho</t>
  </si>
  <si>
    <t>atiti</t>
  </si>
  <si>
    <t>milho verde</t>
  </si>
  <si>
    <t>nyeut</t>
  </si>
  <si>
    <t>kak</t>
  </si>
  <si>
    <t>minha.namorada</t>
  </si>
  <si>
    <t>oxãrãen</t>
  </si>
  <si>
    <t>minhoca</t>
  </si>
  <si>
    <t>ating</t>
  </si>
  <si>
    <t>minhoca grande (mulher do arco-íris)</t>
  </si>
  <si>
    <t>atinxato</t>
  </si>
  <si>
    <t>merowã</t>
  </si>
  <si>
    <t>arãpiyã</t>
  </si>
  <si>
    <t>mulher não indígena</t>
  </si>
  <si>
    <t>ereypet</t>
  </si>
  <si>
    <t>mundo</t>
  </si>
  <si>
    <t>kikuyet</t>
  </si>
  <si>
    <t>mintõ</t>
  </si>
  <si>
    <t>najá</t>
  </si>
  <si>
    <t>korinde</t>
  </si>
  <si>
    <t>namorada</t>
  </si>
  <si>
    <t>xãram</t>
  </si>
  <si>
    <t>não está bem/bom</t>
  </si>
  <si>
    <t>poarõ</t>
  </si>
  <si>
    <t>não tem</t>
  </si>
  <si>
    <t>kepit</t>
  </si>
  <si>
    <t>nome</t>
  </si>
  <si>
    <t>xet</t>
  </si>
  <si>
    <t>nome de deus</t>
  </si>
  <si>
    <t>awato beyu</t>
  </si>
  <si>
    <t>o que</t>
  </si>
  <si>
    <t>arikop</t>
  </si>
  <si>
    <t>obrigado</t>
  </si>
  <si>
    <t>aowa keten</t>
  </si>
  <si>
    <t>onça</t>
  </si>
  <si>
    <t>amenko</t>
  </si>
  <si>
    <t>onça feroz</t>
  </si>
  <si>
    <t>takri</t>
  </si>
  <si>
    <t>ontem</t>
  </si>
  <si>
    <t>pote</t>
  </si>
  <si>
    <t>apixep</t>
  </si>
  <si>
    <t>outro</t>
  </si>
  <si>
    <t>non</t>
  </si>
  <si>
    <t>paca</t>
  </si>
  <si>
    <t>atax</t>
  </si>
  <si>
    <t>pai</t>
  </si>
  <si>
    <t>awa</t>
  </si>
  <si>
    <t>panema (caçador/pescador azarado)</t>
  </si>
  <si>
    <t>ndogom</t>
  </si>
  <si>
    <t>pato</t>
  </si>
  <si>
    <t>payo</t>
  </si>
  <si>
    <t>patroa/mulher do cacique</t>
  </si>
  <si>
    <t>mboalipet</t>
  </si>
  <si>
    <t>pedir/querer</t>
  </si>
  <si>
    <t>peka</t>
  </si>
  <si>
    <t>potkap</t>
  </si>
  <si>
    <t>peixe pintado</t>
  </si>
  <si>
    <t>andole</t>
  </si>
  <si>
    <t>pena/cabeludo</t>
  </si>
  <si>
    <t>eambana</t>
  </si>
  <si>
    <t>pescar</t>
  </si>
  <si>
    <t>motiwã</t>
  </si>
  <si>
    <t>wotkup</t>
  </si>
  <si>
    <t>pessoas</t>
  </si>
  <si>
    <t>ekitenya</t>
  </si>
  <si>
    <t>pico-de-jaca</t>
  </si>
  <si>
    <t>pãyãyõ</t>
  </si>
  <si>
    <t>pintar</t>
  </si>
  <si>
    <t>konga</t>
  </si>
  <si>
    <t>pintar corpo</t>
  </si>
  <si>
    <t>pintar.dentro</t>
  </si>
  <si>
    <t>pitkonga</t>
  </si>
  <si>
    <t>piranha</t>
  </si>
  <si>
    <t>upyay</t>
  </si>
  <si>
    <t>pium</t>
  </si>
  <si>
    <t>mbioxayi</t>
  </si>
  <si>
    <t>planta amansa mulher</t>
  </si>
  <si>
    <t>arãpiyãkepxep</t>
  </si>
  <si>
    <t>planta para azedar chicha</t>
  </si>
  <si>
    <t>yakawao</t>
  </si>
  <si>
    <t>planta para pingar no olho</t>
  </si>
  <si>
    <t>xixakexap</t>
  </si>
  <si>
    <t>planta para queimadura, corte</t>
  </si>
  <si>
    <t>ẽrey</t>
  </si>
  <si>
    <t>planta para tirar panema</t>
  </si>
  <si>
    <t>õrõmenxoay</t>
  </si>
  <si>
    <t>ponte de deus</t>
  </si>
  <si>
    <t>awato bukyet</t>
  </si>
  <si>
    <t>poraquê</t>
  </si>
  <si>
    <t>ndoko</t>
  </si>
  <si>
    <t>pote de pupunha usado para fazer fio de algodão</t>
  </si>
  <si>
    <t>iwukup</t>
  </si>
  <si>
    <t>pote maior em que se coloca chicha; também pode ser usado como caixão</t>
  </si>
  <si>
    <t>atopa</t>
  </si>
  <si>
    <t>pote menor usado para colocar água ou chicha (descrição lembra uma cuia)</t>
  </si>
  <si>
    <t>ũen</t>
  </si>
  <si>
    <t>prato/pote menor em que o pajé torra rapé</t>
  </si>
  <si>
    <t>kandaii</t>
  </si>
  <si>
    <t>awagom</t>
  </si>
  <si>
    <t>pulseira</t>
  </si>
  <si>
    <t>mbonẽarao
mborikõ</t>
  </si>
  <si>
    <t>pulseira de ouriço de castanha</t>
  </si>
  <si>
    <t>nearao</t>
  </si>
  <si>
    <t>quebrar</t>
  </si>
  <si>
    <t>pagepa</t>
  </si>
  <si>
    <t>quem</t>
  </si>
  <si>
    <t>arikop kitoare</t>
  </si>
  <si>
    <t>rapazes</t>
  </si>
  <si>
    <t>nakowutnya</t>
  </si>
  <si>
    <t>rápido</t>
  </si>
  <si>
    <t>waraga</t>
  </si>
  <si>
    <t>rasgar (buriti)</t>
  </si>
  <si>
    <t>ingeynga</t>
  </si>
  <si>
    <t>rede</t>
  </si>
  <si>
    <t>enrin</t>
  </si>
  <si>
    <t>remar</t>
  </si>
  <si>
    <t>eo</t>
  </si>
  <si>
    <t>remédio</t>
  </si>
  <si>
    <t>wairat</t>
  </si>
  <si>
    <t>xaoté wairat</t>
  </si>
  <si>
    <t>remédio de panema</t>
  </si>
  <si>
    <t>arembunyenxoay</t>
  </si>
  <si>
    <t>remédio para cólica</t>
  </si>
  <si>
    <t>kimbitik</t>
  </si>
  <si>
    <t>remédio para criança falar</t>
  </si>
  <si>
    <t>xaip wairat</t>
  </si>
  <si>
    <t>remédio para engravidar</t>
  </si>
  <si>
    <t>remédio para ferimento</t>
  </si>
  <si>
    <t>xai wairat</t>
  </si>
  <si>
    <t>resina de jatobá</t>
  </si>
  <si>
    <t>watepixoep</t>
  </si>
  <si>
    <t>roça</t>
  </si>
  <si>
    <t>nge</t>
  </si>
  <si>
    <t>roça do irmão</t>
  </si>
  <si>
    <t>nge ononinge mbixexo</t>
  </si>
  <si>
    <t>axexu</t>
  </si>
  <si>
    <t>roupa.branca</t>
  </si>
  <si>
    <t>axexi ngab</t>
  </si>
  <si>
    <t>samaúma</t>
  </si>
  <si>
    <t>waranã</t>
  </si>
  <si>
    <t>sangue</t>
  </si>
  <si>
    <t>xeu</t>
  </si>
  <si>
    <t>saúva</t>
  </si>
  <si>
    <t>ming</t>
  </si>
  <si>
    <t>xambi</t>
  </si>
  <si>
    <t>serra</t>
  </si>
  <si>
    <t>ndoa</t>
  </si>
  <si>
    <t>sol/dia</t>
  </si>
  <si>
    <t>ngeat</t>
  </si>
  <si>
    <t>tabatinga, barro arroxeado</t>
  </si>
  <si>
    <t>talco</t>
  </si>
  <si>
    <t>ngowok</t>
  </si>
  <si>
    <t>taquara</t>
  </si>
  <si>
    <t>tatu</t>
  </si>
  <si>
    <t>uro</t>
  </si>
  <si>
    <t>tatu-canastra</t>
  </si>
  <si>
    <t>wiriyo</t>
  </si>
  <si>
    <t>tipo de remédio</t>
  </si>
  <si>
    <t>xat wairat</t>
  </si>
  <si>
    <t>xau wairat</t>
  </si>
  <si>
    <t>tipoia</t>
  </si>
  <si>
    <t>epuy</t>
  </si>
  <si>
    <t>torrar</t>
  </si>
  <si>
    <t>tura</t>
  </si>
  <si>
    <t>trançar</t>
  </si>
  <si>
    <t>tiinka</t>
  </si>
  <si>
    <t>yõkã</t>
  </si>
  <si>
    <t>tucumã</t>
  </si>
  <si>
    <t>orokone</t>
  </si>
  <si>
    <t>tucunaré</t>
  </si>
  <si>
    <t>mbalera</t>
  </si>
  <si>
    <t>um</t>
  </si>
  <si>
    <t>erekut</t>
  </si>
  <si>
    <t>urubu</t>
  </si>
  <si>
    <t>ueko</t>
  </si>
  <si>
    <t>iko</t>
  </si>
  <si>
    <t>vagalume</t>
  </si>
  <si>
    <t>mborexap</t>
  </si>
  <si>
    <t>vamos</t>
  </si>
  <si>
    <t>yẽmo</t>
  </si>
  <si>
    <t>veado</t>
  </si>
  <si>
    <t>utu</t>
  </si>
  <si>
    <t>ngeyto</t>
  </si>
  <si>
    <t>verde (não maduro)</t>
  </si>
  <si>
    <t>aut</t>
  </si>
  <si>
    <t>vermelho</t>
  </si>
  <si>
    <t>wurup</t>
  </si>
  <si>
    <t>você</t>
  </si>
  <si>
    <t>en</t>
  </si>
  <si>
    <t>vovô</t>
  </si>
  <si>
    <t>awato</t>
  </si>
  <si>
    <t>titi</t>
  </si>
  <si>
    <t>LABEL</t>
  </si>
  <si>
    <t>LINK</t>
  </si>
  <si>
    <t>MAN</t>
  </si>
  <si>
    <t>APPLE</t>
  </si>
  <si>
    <t>DOG</t>
  </si>
  <si>
    <t xml:space="preserve">https://i.pinimg.com/originals/a7/64/24/a76424b3f597ef1d78fd0a8db0f8c966.png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</si>
</sst>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color rgb="FF000000"/>
      <name val="Arial"/>
      <scheme val="minor"/>
    </font>
    <font>
      <u/>
      <color theme="1"/>
      <name val="Arial"/>
      <scheme val="minor"/>
    </font>
    <font>
      <b/>
      <sz val="10.0"/>
      <color rgb="FFFF0000"/>
      <name val="Arial"/>
      <scheme val="minor"/>
    </font>
    <font>
      <b/>
      <color rgb="FFFF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</font>
    <font>
      <color theme="1"/>
      <name val="Arial"/>
    </font>
    <font>
      <b/>
      <sz val="11.0"/>
      <color rgb="FF000000"/>
      <name val="Arial"/>
    </font>
    <font>
      <sz val="11.0"/>
      <color rgb="FFFF0000"/>
      <name val="Arial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0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/>
    </xf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2" fontId="0" numFmtId="0" xfId="0" applyAlignment="1" applyFont="1">
      <alignment horizontal="left" readingOrder="0"/>
    </xf>
    <xf borderId="0" fillId="0" fontId="8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4" fontId="11" numFmtId="0" xfId="0" applyAlignment="1" applyFont="1">
      <alignment readingOrder="0" shrinkToFit="0" wrapText="1"/>
    </xf>
    <xf borderId="0" fillId="4" fontId="12" numFmtId="0" xfId="0" applyAlignment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4" fontId="13" numFmtId="0" xfId="0" applyAlignment="1" applyFont="1">
      <alignment horizontal="left" readingOrder="0"/>
    </xf>
    <xf borderId="0" fillId="6" fontId="2" numFmtId="0" xfId="0" applyAlignment="1" applyFill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6" fontId="14" numFmtId="0" xfId="0" applyAlignment="1" applyFont="1">
      <alignment shrinkToFit="0" vertical="bottom" wrapText="1"/>
    </xf>
    <xf borderId="0" fillId="6" fontId="14" numFmtId="0" xfId="0" applyAlignment="1" applyFont="1">
      <alignment readingOrder="0" shrinkToFit="0" vertical="bottom" wrapText="1"/>
    </xf>
    <xf borderId="0" fillId="6" fontId="14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7" fontId="5" numFmtId="0" xfId="0" applyAlignment="1" applyFill="1" applyFont="1">
      <alignment readingOrder="0" shrinkToFit="0" wrapText="1"/>
    </xf>
    <xf borderId="0" fillId="7" fontId="5" numFmtId="0" xfId="0" applyAlignment="1" applyFont="1">
      <alignment readingOrder="0" shrinkToFit="0" wrapText="1"/>
    </xf>
    <xf borderId="0" fillId="7" fontId="5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1" fillId="0" fontId="15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horizontal="center" readingOrder="0" shrinkToFit="0" wrapText="1"/>
    </xf>
    <xf borderId="1" fillId="0" fontId="17" numFmtId="0" xfId="0" applyAlignment="1" applyBorder="1" applyFont="1">
      <alignment horizontal="center" readingOrder="0" shrinkToFit="0" wrapText="1"/>
    </xf>
    <xf borderId="0" fillId="0" fontId="16" numFmtId="0" xfId="0" applyAlignment="1" applyFon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sEjL1mIDRxNy5hvF-QaDPNazg_EmOGyq/view?usp=drive_link" TargetMode="External"/><Relationship Id="rId22" Type="http://schemas.openxmlformats.org/officeDocument/2006/relationships/hyperlink" Target="https://drive.google.com/file/d/12veNraA82-07EEh7dTo4QpeRApvmlTt2/view?usp=drive_link" TargetMode="External"/><Relationship Id="rId21" Type="http://schemas.openxmlformats.org/officeDocument/2006/relationships/hyperlink" Target="https://drive.google.com/file/d/1_RjUxIoNGK6cRB8UCo8Bozh-Yj6IejAg/view?usp=drive_link" TargetMode="External"/><Relationship Id="rId24" Type="http://schemas.openxmlformats.org/officeDocument/2006/relationships/hyperlink" Target="https://drive.google.com/file/d/1g6P2f44k8zG3ri207O3AFvzDgWblY6_G/view?usp=drive_link" TargetMode="External"/><Relationship Id="rId23" Type="http://schemas.openxmlformats.org/officeDocument/2006/relationships/hyperlink" Target="https://drive.google.com/file/d/1c-b6onK_VginK7EgmEgYR2Ujx71Gvdhz/view?usp=drive_link" TargetMode="External"/><Relationship Id="rId1" Type="http://schemas.openxmlformats.org/officeDocument/2006/relationships/hyperlink" Target="https://drive.google.com/file/d/1wTgk8HM7tU-6S-z-AcN3lboCkns7D_so/view?usp=drive_link" TargetMode="External"/><Relationship Id="rId2" Type="http://schemas.openxmlformats.org/officeDocument/2006/relationships/hyperlink" Target="https://drive.google.com/file/d/1lz4_baEoLZmuh9HP9twts-AjgJr6WhKi/view?usp=drive_link" TargetMode="External"/><Relationship Id="rId3" Type="http://schemas.openxmlformats.org/officeDocument/2006/relationships/hyperlink" Target="https://drive.google.com/file/d/15vxFajLaBu1SkpiR5wCpb7Amjv1axzP2/view?usp=drive_link" TargetMode="External"/><Relationship Id="rId4" Type="http://schemas.openxmlformats.org/officeDocument/2006/relationships/hyperlink" Target="https://drive.google.com/file/d/1jSGAc_KSVSzt1eCaGDq2fHjYd1SHy-mH/view?usp=drive_link" TargetMode="External"/><Relationship Id="rId9" Type="http://schemas.openxmlformats.org/officeDocument/2006/relationships/hyperlink" Target="https://drive.google.com/file/d/1Xv0xA0tq5qnbFvVt_BDz1aCwPGdNqLRU/view?usp=drive_link" TargetMode="External"/><Relationship Id="rId26" Type="http://schemas.openxmlformats.org/officeDocument/2006/relationships/hyperlink" Target="https://cdn1.vectorstock.com/i/1000x1000/74/95/cartoon-of-kawaii-cute-older-man-vector-24137495.jpg" TargetMode="External"/><Relationship Id="rId25" Type="http://schemas.openxmlformats.org/officeDocument/2006/relationships/hyperlink" Target="https://drive.google.com/file/d/1fKpIdilmm4qiTWLFN7T3IH8ZFfvKXVbJ/view?usp=drive_link" TargetMode="External"/><Relationship Id="rId28" Type="http://schemas.openxmlformats.org/officeDocument/2006/relationships/hyperlink" Target="https://i.pinimg.com/originals/a7/64/24/a76424b3f597ef1d78fd0a8db0f8c966.png" TargetMode="External"/><Relationship Id="rId27" Type="http://schemas.openxmlformats.org/officeDocument/2006/relationships/hyperlink" Target="https://cdn-icons-png.freepik.com/256/5990/5990595.png?semt=ais_hybrid" TargetMode="External"/><Relationship Id="rId5" Type="http://schemas.openxmlformats.org/officeDocument/2006/relationships/hyperlink" Target="https://drive.google.com/file/d/1boMIsNa29T7PJljB_NUjcb3tMHUHoGvK/view?usp=drive_link" TargetMode="External"/><Relationship Id="rId6" Type="http://schemas.openxmlformats.org/officeDocument/2006/relationships/hyperlink" Target="https://drive.google.com/file/d/1v-rnlLbMQSAXwRawlHOKGtgFcrzPxZFI/view?usp=drive_link" TargetMode="External"/><Relationship Id="rId29" Type="http://schemas.openxmlformats.org/officeDocument/2006/relationships/hyperlink" Target="https://cdn1.vectorstock.com/i/1000x1000/74/95/cartoon-of-kawaii-cute-older-man-vector-24137495.jpg" TargetMode="External"/><Relationship Id="rId7" Type="http://schemas.openxmlformats.org/officeDocument/2006/relationships/hyperlink" Target="https://drive.google.com/file/d/1ySPAEhNiT-QK14VUgrBbGu7vQtOX2WUY/view?usp=drive_link" TargetMode="External"/><Relationship Id="rId8" Type="http://schemas.openxmlformats.org/officeDocument/2006/relationships/hyperlink" Target="https://drive.google.com/file/d/1K6ZhStT7qiSeld9uyxFsqZrNjhyV2KD0/view?usp=drive_link" TargetMode="External"/><Relationship Id="rId31" Type="http://schemas.openxmlformats.org/officeDocument/2006/relationships/hyperlink" Target="https://i.pinimg.com/originals/a7/64/24/a76424b3f597ef1d78fd0a8db0f8c966.png" TargetMode="External"/><Relationship Id="rId30" Type="http://schemas.openxmlformats.org/officeDocument/2006/relationships/hyperlink" Target="https://i.pinimg.com/originals/7c/f9/19/7cf91994f7b4feab11b5671109490207.png" TargetMode="External"/><Relationship Id="rId11" Type="http://schemas.openxmlformats.org/officeDocument/2006/relationships/hyperlink" Target="https://drive.google.com/file/d/1E_5T8LEbqvUP9HhubJn_34NWOmFPaGxb/view?usp=drive_link" TargetMode="External"/><Relationship Id="rId10" Type="http://schemas.openxmlformats.org/officeDocument/2006/relationships/hyperlink" Target="https://drive.google.com/file/d/1rYoAp3KJSep4Yit0OQMqzTqwj_8eYWZU/view?usp=drive_link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file/d/1tLLzW-Zqn8Nv9CzENVklwJkydWSWr-li/view?usp=drive_link" TargetMode="External"/><Relationship Id="rId12" Type="http://schemas.openxmlformats.org/officeDocument/2006/relationships/hyperlink" Target="https://drive.google.com/file/d/1S1keGQ6NkAzPFfeiYQ6rehDBj_cWv7SU/view?usp=sharing" TargetMode="External"/><Relationship Id="rId15" Type="http://schemas.openxmlformats.org/officeDocument/2006/relationships/hyperlink" Target="https://drive.google.com/file/d/1oPWEnFE230GvvKm0vh895W6Pd1CN0GLa/view?usp=drive_link" TargetMode="External"/><Relationship Id="rId14" Type="http://schemas.openxmlformats.org/officeDocument/2006/relationships/hyperlink" Target="https://drive.google.com/file/d/1nHO_tbGD6Fivgovzz9NE52HHvIL9ezYx/view?usp=drive_link" TargetMode="External"/><Relationship Id="rId17" Type="http://schemas.openxmlformats.org/officeDocument/2006/relationships/hyperlink" Target="https://drive.google.com/file/d/1wwEVEMtN1zWZ_opyQt76H3Gh-uWxqz0C/view?usp=drive_link" TargetMode="External"/><Relationship Id="rId16" Type="http://schemas.openxmlformats.org/officeDocument/2006/relationships/hyperlink" Target="https://drive.google.com/file/d/1dpeon5peknq8vBZrFbdWf_oZYq1lpDYx/view?usp=drive_link" TargetMode="External"/><Relationship Id="rId19" Type="http://schemas.openxmlformats.org/officeDocument/2006/relationships/hyperlink" Target="https://drive.google.com/file/d/1TecK_oVScFEbpCORzy5HZDoDTcdKnQiq/view?usp=drive_link" TargetMode="External"/><Relationship Id="rId18" Type="http://schemas.openxmlformats.org/officeDocument/2006/relationships/hyperlink" Target="https://drive.google.com/file/d/1JCxwVEVHkmjTnlV7iWmFN3h395ZcYNT6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dn1.vectorstock.com/i/1000x1000/74/95/cartoon-of-kawaii-cute-older-man-vector-24137495.jpg" TargetMode="External"/><Relationship Id="rId2" Type="http://schemas.openxmlformats.org/officeDocument/2006/relationships/hyperlink" Target="https://cdn-icons-png.freepik.com/256/5990/5990595.png?semt=ais_hybrid" TargetMode="External"/><Relationship Id="rId3" Type="http://schemas.openxmlformats.org/officeDocument/2006/relationships/hyperlink" Target="https://i.pinimg.com/originals/a7/64/24/a76424b3f597ef1d78fd0a8db0f8c966.png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5" max="5" width="18.0"/>
    <col customWidth="1" hidden="1" min="6" max="6" width="18.0"/>
    <col customWidth="1" min="7" max="7" width="18.0"/>
    <col customWidth="1" min="8" max="8" width="16.5"/>
    <col customWidth="1" min="9" max="9" width="26.0"/>
    <col customWidth="1" min="10" max="10" width="17.75"/>
    <col customWidth="1" min="15" max="15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/>
      <c r="K1" s="1"/>
      <c r="L1" s="1" t="s">
        <v>6</v>
      </c>
      <c r="M1" s="1" t="s">
        <v>7</v>
      </c>
      <c r="N1" s="2"/>
      <c r="O1" s="1" t="s">
        <v>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9</v>
      </c>
      <c r="B2" s="4" t="s">
        <v>10</v>
      </c>
      <c r="C2" s="5"/>
      <c r="D2" s="6" t="s">
        <v>11</v>
      </c>
      <c r="E2" s="6" t="s">
        <v>12</v>
      </c>
      <c r="F2" s="6" t="str">
        <f>IFERROR(__xludf.DUMMYFUNCTION("GOOGLETRANSLATE(E2,""pt"",""en"")"),"brunette")</f>
        <v>brunette</v>
      </c>
      <c r="G2" s="6" t="s">
        <v>13</v>
      </c>
      <c r="H2" s="7" t="s">
        <v>14</v>
      </c>
      <c r="I2" s="8" t="s">
        <v>15</v>
      </c>
      <c r="J2" s="3"/>
      <c r="K2" s="3"/>
      <c r="L2" s="3"/>
      <c r="M2" s="3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3" t="s">
        <v>16</v>
      </c>
      <c r="B3" s="5" t="s">
        <v>17</v>
      </c>
      <c r="C3" s="5"/>
      <c r="D3" s="5" t="s">
        <v>18</v>
      </c>
      <c r="E3" s="5" t="s">
        <v>19</v>
      </c>
      <c r="F3" s="6" t="str">
        <f>IFERROR(__xludf.DUMMYFUNCTION("GOOGLETRANSLATE(E3,""pt"",""en"")"),"fly")</f>
        <v>fly</v>
      </c>
      <c r="G3" s="6" t="str">
        <f t="shared" ref="G3:G7" si="1">F3</f>
        <v>fly</v>
      </c>
      <c r="H3" s="5" t="s">
        <v>19</v>
      </c>
      <c r="I3" s="10" t="s">
        <v>20</v>
      </c>
      <c r="J3" s="3"/>
      <c r="K3" s="3"/>
      <c r="L3" s="3"/>
      <c r="M3" s="3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3" t="s">
        <v>21</v>
      </c>
      <c r="B4" s="6" t="s">
        <v>22</v>
      </c>
      <c r="C4" s="5"/>
      <c r="D4" s="5" t="s">
        <v>23</v>
      </c>
      <c r="E4" s="5" t="s">
        <v>24</v>
      </c>
      <c r="F4" s="6" t="str">
        <f>IFERROR(__xludf.DUMMYFUNCTION("GOOGLETRANSLATE(E4,""pt"",""en"")"),"non-indigenous man")</f>
        <v>non-indigenous man</v>
      </c>
      <c r="G4" s="6" t="str">
        <f t="shared" si="1"/>
        <v>non-indigenous man</v>
      </c>
      <c r="H4" s="5" t="s">
        <v>25</v>
      </c>
      <c r="I4" s="10" t="s">
        <v>26</v>
      </c>
      <c r="J4" s="3"/>
      <c r="K4" s="3"/>
      <c r="L4" s="3"/>
      <c r="M4" s="3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3" t="s">
        <v>27</v>
      </c>
      <c r="B5" s="11" t="s">
        <v>28</v>
      </c>
      <c r="C5" s="5"/>
      <c r="D5" s="5" t="s">
        <v>29</v>
      </c>
      <c r="E5" s="5" t="s">
        <v>30</v>
      </c>
      <c r="F5" s="6" t="str">
        <f>IFERROR(__xludf.DUMMYFUNCTION("GOOGLETRANSLATE(E5,""pt"",""en"")"),"stained")</f>
        <v>stained</v>
      </c>
      <c r="G5" s="6" t="str">
        <f t="shared" si="1"/>
        <v>stained</v>
      </c>
      <c r="H5" s="5" t="s">
        <v>31</v>
      </c>
      <c r="I5" s="10" t="s">
        <v>32</v>
      </c>
      <c r="J5" s="3"/>
      <c r="K5" s="3"/>
      <c r="L5" s="3"/>
      <c r="M5" s="3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3" t="s">
        <v>33</v>
      </c>
      <c r="B6" s="5" t="s">
        <v>34</v>
      </c>
      <c r="C6" s="5"/>
      <c r="D6" s="5" t="s">
        <v>35</v>
      </c>
      <c r="E6" s="5" t="s">
        <v>36</v>
      </c>
      <c r="F6" s="6" t="str">
        <f>IFERROR(__xludf.DUMMYFUNCTION("GOOGLETRANSLATE(E6,""pt"",""en"")"),"lazy")</f>
        <v>lazy</v>
      </c>
      <c r="G6" s="6" t="str">
        <f t="shared" si="1"/>
        <v>lazy</v>
      </c>
      <c r="H6" s="5" t="s">
        <v>36</v>
      </c>
      <c r="I6" s="10" t="s">
        <v>37</v>
      </c>
      <c r="J6" s="3"/>
      <c r="K6" s="3"/>
      <c r="L6" s="3"/>
      <c r="M6" s="3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3" t="s">
        <v>38</v>
      </c>
      <c r="B7" s="5" t="s">
        <v>39</v>
      </c>
      <c r="C7" s="5"/>
      <c r="D7" s="5" t="s">
        <v>40</v>
      </c>
      <c r="E7" s="5" t="s">
        <v>41</v>
      </c>
      <c r="F7" s="6" t="str">
        <f>IFERROR(__xludf.DUMMYFUNCTION("GOOGLETRANSLATE(E7,""pt"",""en"")"),"annatto")</f>
        <v>annatto</v>
      </c>
      <c r="G7" s="6" t="str">
        <f t="shared" si="1"/>
        <v>annatto</v>
      </c>
      <c r="H7" s="5" t="s">
        <v>41</v>
      </c>
      <c r="I7" s="10" t="s">
        <v>42</v>
      </c>
      <c r="J7" s="3"/>
      <c r="K7" s="3"/>
      <c r="L7" s="3"/>
      <c r="M7" s="3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3" t="s">
        <v>43</v>
      </c>
      <c r="B8" s="5" t="s">
        <v>44</v>
      </c>
      <c r="C8" s="5"/>
      <c r="D8" s="5" t="s">
        <v>45</v>
      </c>
      <c r="E8" s="5" t="s">
        <v>46</v>
      </c>
      <c r="F8" s="6" t="str">
        <f>IFERROR(__xludf.DUMMYFUNCTION("GOOGLETRANSLATE(E8,""pt"",""en"")"),"mosquito")</f>
        <v>mosquito</v>
      </c>
      <c r="G8" s="6" t="s">
        <v>47</v>
      </c>
      <c r="H8" s="5" t="s">
        <v>46</v>
      </c>
      <c r="I8" s="10" t="s">
        <v>48</v>
      </c>
      <c r="J8" s="3"/>
      <c r="K8" s="3"/>
      <c r="L8" s="3"/>
      <c r="M8" s="3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3" t="s">
        <v>49</v>
      </c>
      <c r="B9" s="5" t="s">
        <v>50</v>
      </c>
      <c r="C9" s="5"/>
      <c r="D9" s="12" t="s">
        <v>51</v>
      </c>
      <c r="E9" s="5" t="s">
        <v>52</v>
      </c>
      <c r="F9" s="6" t="str">
        <f>IFERROR(__xludf.DUMMYFUNCTION("GOOGLETRANSLATE(E9,""pt"",""en"")"),"porridge")</f>
        <v>porridge</v>
      </c>
      <c r="G9" s="6" t="str">
        <f>F9</f>
        <v>porridge</v>
      </c>
      <c r="H9" s="5" t="s">
        <v>52</v>
      </c>
      <c r="I9" s="10" t="s">
        <v>53</v>
      </c>
      <c r="J9" s="3"/>
      <c r="K9" s="3"/>
      <c r="L9" s="3"/>
      <c r="M9" s="3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3" t="s">
        <v>54</v>
      </c>
      <c r="B10" s="3" t="s">
        <v>55</v>
      </c>
      <c r="C10" s="3"/>
      <c r="D10" s="3" t="s">
        <v>56</v>
      </c>
      <c r="E10" s="3" t="s">
        <v>57</v>
      </c>
      <c r="F10" s="6" t="str">
        <f>IFERROR(__xludf.DUMMYFUNCTION("GOOGLETRANSLATE(E10,""pt"",""en"")"),"to harvest")</f>
        <v>to harvest</v>
      </c>
      <c r="G10" s="6" t="s">
        <v>58</v>
      </c>
      <c r="H10" s="3" t="s">
        <v>57</v>
      </c>
      <c r="I10" s="10" t="s">
        <v>59</v>
      </c>
      <c r="J10" s="3"/>
      <c r="K10" s="3"/>
      <c r="L10" s="3"/>
      <c r="M10" s="3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3" t="s">
        <v>60</v>
      </c>
      <c r="B11" s="3" t="s">
        <v>61</v>
      </c>
      <c r="C11" s="3"/>
      <c r="D11" s="13" t="s">
        <v>62</v>
      </c>
      <c r="E11" s="3" t="s">
        <v>63</v>
      </c>
      <c r="F11" s="6" t="str">
        <f>IFERROR(__xludf.DUMMYFUNCTION("GOOGLETRANSLATE(E11,""pt"",""en"")"),"curassow")</f>
        <v>curassow</v>
      </c>
      <c r="G11" s="6" t="str">
        <f t="shared" ref="G11:G26" si="2">F11</f>
        <v>curassow</v>
      </c>
      <c r="H11" s="3" t="s">
        <v>63</v>
      </c>
      <c r="I11" s="10" t="s">
        <v>64</v>
      </c>
      <c r="J11" s="3"/>
      <c r="K11" s="3"/>
      <c r="L11" s="3"/>
      <c r="M11" s="3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3" t="s">
        <v>65</v>
      </c>
      <c r="B12" s="3"/>
      <c r="C12" s="3"/>
      <c r="D12" s="3" t="s">
        <v>66</v>
      </c>
      <c r="E12" s="3" t="s">
        <v>67</v>
      </c>
      <c r="F12" s="6" t="str">
        <f>IFERROR(__xludf.DUMMYFUNCTION("GOOGLETRANSLATE(E12,""pt"",""en"")"),"sugarcane")</f>
        <v>sugarcane</v>
      </c>
      <c r="G12" s="6" t="str">
        <f t="shared" si="2"/>
        <v>sugarcane</v>
      </c>
      <c r="H12" s="3" t="s">
        <v>68</v>
      </c>
      <c r="I12" s="10" t="s">
        <v>69</v>
      </c>
      <c r="J12" s="3"/>
      <c r="K12" s="3"/>
      <c r="L12" s="3"/>
      <c r="M12" s="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3" t="s">
        <v>70</v>
      </c>
      <c r="B13" s="3" t="s">
        <v>71</v>
      </c>
      <c r="C13" s="3"/>
      <c r="D13" s="3" t="s">
        <v>72</v>
      </c>
      <c r="E13" s="3" t="s">
        <v>73</v>
      </c>
      <c r="F13" s="6" t="str">
        <f>IFERROR(__xludf.DUMMYFUNCTION("GOOGLETRANSLATE(E13,""pt"",""en"")"),"boy")</f>
        <v>boy</v>
      </c>
      <c r="G13" s="6" t="str">
        <f t="shared" si="2"/>
        <v>boy</v>
      </c>
      <c r="H13" s="3" t="s">
        <v>73</v>
      </c>
      <c r="I13" s="10" t="s">
        <v>74</v>
      </c>
      <c r="J13" s="3"/>
      <c r="K13" s="3"/>
      <c r="L13" s="3"/>
      <c r="M13" s="3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3" t="s">
        <v>75</v>
      </c>
      <c r="B14" s="3" t="s">
        <v>76</v>
      </c>
      <c r="C14" s="3"/>
      <c r="D14" s="3" t="s">
        <v>77</v>
      </c>
      <c r="E14" s="3" t="s">
        <v>78</v>
      </c>
      <c r="F14" s="6" t="str">
        <f>IFERROR(__xludf.DUMMYFUNCTION("GOOGLETRANSLATE(E14,""pt"",""en"")"),"cocoa")</f>
        <v>cocoa</v>
      </c>
      <c r="G14" s="6" t="str">
        <f t="shared" si="2"/>
        <v>cocoa</v>
      </c>
      <c r="H14" s="3" t="s">
        <v>78</v>
      </c>
      <c r="I14" s="10" t="s">
        <v>79</v>
      </c>
      <c r="J14" s="3"/>
      <c r="K14" s="3"/>
      <c r="L14" s="3"/>
      <c r="M14" s="3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3" t="s">
        <v>80</v>
      </c>
      <c r="B15" s="3" t="s">
        <v>81</v>
      </c>
      <c r="C15" s="3"/>
      <c r="D15" s="3" t="s">
        <v>82</v>
      </c>
      <c r="E15" s="3" t="s">
        <v>83</v>
      </c>
      <c r="F15" s="6" t="str">
        <f>IFERROR(__xludf.DUMMYFUNCTION("GOOGLETRANSLATE(E15,""pt"",""en"")"),"wind")</f>
        <v>wind</v>
      </c>
      <c r="G15" s="6" t="str">
        <f t="shared" si="2"/>
        <v>wind</v>
      </c>
      <c r="H15" s="3" t="s">
        <v>83</v>
      </c>
      <c r="I15" s="10" t="s">
        <v>84</v>
      </c>
      <c r="J15" s="3"/>
      <c r="K15" s="3"/>
      <c r="L15" s="3"/>
      <c r="M15" s="3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3" t="s">
        <v>85</v>
      </c>
      <c r="B16" s="3"/>
      <c r="C16" s="3"/>
      <c r="D16" s="13" t="s">
        <v>86</v>
      </c>
      <c r="E16" s="3" t="s">
        <v>87</v>
      </c>
      <c r="F16" s="6" t="str">
        <f>IFERROR(__xludf.DUMMYFUNCTION("GOOGLETRANSLATE(E16,""pt"",""en"")"),"butterfly")</f>
        <v>butterfly</v>
      </c>
      <c r="G16" s="6" t="str">
        <f t="shared" si="2"/>
        <v>butterfly</v>
      </c>
      <c r="H16" s="3" t="s">
        <v>87</v>
      </c>
      <c r="I16" s="10" t="s">
        <v>88</v>
      </c>
      <c r="J16" s="3"/>
      <c r="K16" s="3"/>
      <c r="L16" s="3"/>
      <c r="M16" s="3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3" t="s">
        <v>89</v>
      </c>
      <c r="B17" s="3" t="s">
        <v>90</v>
      </c>
      <c r="C17" s="3"/>
      <c r="D17" s="3" t="s">
        <v>91</v>
      </c>
      <c r="E17" s="3" t="s">
        <v>92</v>
      </c>
      <c r="F17" s="6" t="str">
        <f>IFERROR(__xludf.DUMMYFUNCTION("GOOGLETRANSLATE(E17,""pt"",""en"")"),"spider")</f>
        <v>spider</v>
      </c>
      <c r="G17" s="6" t="str">
        <f t="shared" si="2"/>
        <v>spider</v>
      </c>
      <c r="H17" s="3" t="s">
        <v>92</v>
      </c>
      <c r="I17" s="10" t="s">
        <v>93</v>
      </c>
      <c r="J17" s="3"/>
      <c r="K17" s="3"/>
      <c r="L17" s="3"/>
      <c r="M17" s="3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3" t="s">
        <v>94</v>
      </c>
      <c r="B18" s="3" t="s">
        <v>95</v>
      </c>
      <c r="C18" s="3"/>
      <c r="D18" s="3" t="s">
        <v>96</v>
      </c>
      <c r="E18" s="3" t="s">
        <v>97</v>
      </c>
      <c r="F18" s="6" t="str">
        <f>IFERROR(__xludf.DUMMYFUNCTION("GOOGLETRANSLATE(E18,""pt"",""en"")"),"hawk")</f>
        <v>hawk</v>
      </c>
      <c r="G18" s="6" t="str">
        <f t="shared" si="2"/>
        <v>hawk</v>
      </c>
      <c r="H18" s="3" t="s">
        <v>97</v>
      </c>
      <c r="I18" s="10" t="s">
        <v>98</v>
      </c>
      <c r="J18" s="3"/>
      <c r="K18" s="3"/>
      <c r="L18" s="3"/>
      <c r="M18" s="3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3" t="s">
        <v>99</v>
      </c>
      <c r="B19" s="3" t="s">
        <v>100</v>
      </c>
      <c r="C19" s="3"/>
      <c r="D19" s="3" t="s">
        <v>101</v>
      </c>
      <c r="E19" s="3" t="s">
        <v>102</v>
      </c>
      <c r="F19" s="6" t="str">
        <f>IFERROR(__xludf.DUMMYFUNCTION("GOOGLETRANSLATE(E19,""pt"",""en"")"),"fish")</f>
        <v>fish</v>
      </c>
      <c r="G19" s="6" t="str">
        <f t="shared" si="2"/>
        <v>fish</v>
      </c>
      <c r="H19" s="3" t="s">
        <v>102</v>
      </c>
      <c r="I19" s="10" t="s">
        <v>103</v>
      </c>
      <c r="J19" s="3"/>
      <c r="K19" s="3"/>
      <c r="L19" s="3"/>
      <c r="M19" s="3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3" t="s">
        <v>104</v>
      </c>
      <c r="B20" s="3" t="s">
        <v>105</v>
      </c>
      <c r="C20" s="3"/>
      <c r="D20" s="3" t="s">
        <v>106</v>
      </c>
      <c r="E20" s="3" t="s">
        <v>107</v>
      </c>
      <c r="F20" s="6" t="str">
        <f>IFERROR(__xludf.DUMMYFUNCTION("GOOGLETRANSLATE(E20,""pt"",""en"")"),"mouth")</f>
        <v>mouth</v>
      </c>
      <c r="G20" s="6" t="str">
        <f t="shared" si="2"/>
        <v>mouth</v>
      </c>
      <c r="H20" s="3" t="s">
        <v>107</v>
      </c>
      <c r="I20" s="10" t="s">
        <v>108</v>
      </c>
      <c r="J20" s="3"/>
      <c r="K20" s="3"/>
      <c r="L20" s="3"/>
      <c r="M20" s="3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3" t="s">
        <v>109</v>
      </c>
      <c r="B21" s="3" t="s">
        <v>110</v>
      </c>
      <c r="C21" s="3"/>
      <c r="D21" s="3" t="s">
        <v>111</v>
      </c>
      <c r="E21" s="3" t="s">
        <v>112</v>
      </c>
      <c r="F21" s="6" t="str">
        <f>IFERROR(__xludf.DUMMYFUNCTION("GOOGLETRANSLATE(E21,""pt"",""en"")"),"grandfather")</f>
        <v>grandfather</v>
      </c>
      <c r="G21" s="6" t="str">
        <f t="shared" si="2"/>
        <v>grandfather</v>
      </c>
      <c r="H21" s="3" t="s">
        <v>112</v>
      </c>
      <c r="I21" s="10" t="s">
        <v>113</v>
      </c>
      <c r="J21" s="3"/>
      <c r="K21" s="3"/>
      <c r="L21" s="3"/>
      <c r="M21" s="3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3" t="s">
        <v>114</v>
      </c>
      <c r="B22" s="3"/>
      <c r="C22" s="3"/>
      <c r="D22" s="3" t="s">
        <v>115</v>
      </c>
      <c r="E22" s="3" t="s">
        <v>116</v>
      </c>
      <c r="F22" s="6" t="str">
        <f>IFERROR(__xludf.DUMMYFUNCTION("GOOGLETRANSLATE(E22,""pt"",""en"")"),"tapir")</f>
        <v>tapir</v>
      </c>
      <c r="G22" s="6" t="str">
        <f t="shared" si="2"/>
        <v>tapir</v>
      </c>
      <c r="H22" s="3" t="s">
        <v>116</v>
      </c>
      <c r="I22" s="10" t="s">
        <v>117</v>
      </c>
      <c r="J22" s="3"/>
      <c r="K22" s="3"/>
      <c r="L22" s="3"/>
      <c r="M22" s="3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3" t="s">
        <v>118</v>
      </c>
      <c r="B23" s="3"/>
      <c r="C23" s="3"/>
      <c r="D23" s="3" t="s">
        <v>119</v>
      </c>
      <c r="E23" s="3" t="s">
        <v>120</v>
      </c>
      <c r="F23" s="6" t="str">
        <f>IFERROR(__xludf.DUMMYFUNCTION("GOOGLETRANSLATE(E23,""pt"",""en"")"),"hair")</f>
        <v>hair</v>
      </c>
      <c r="G23" s="6" t="str">
        <f t="shared" si="2"/>
        <v>hair</v>
      </c>
      <c r="H23" s="3" t="s">
        <v>120</v>
      </c>
      <c r="I23" s="10" t="s">
        <v>121</v>
      </c>
      <c r="J23" s="3"/>
      <c r="K23" s="3"/>
      <c r="L23" s="3"/>
      <c r="M23" s="3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3" t="s">
        <v>122</v>
      </c>
      <c r="B24" s="3"/>
      <c r="C24" s="3"/>
      <c r="D24" s="3" t="s">
        <v>123</v>
      </c>
      <c r="E24" s="3" t="s">
        <v>124</v>
      </c>
      <c r="F24" s="6" t="str">
        <f>IFERROR(__xludf.DUMMYFUNCTION("GOOGLETRANSLATE(E24,""pt"",""en"")"),"neck")</f>
        <v>neck</v>
      </c>
      <c r="G24" s="6" t="str">
        <f t="shared" si="2"/>
        <v>neck</v>
      </c>
      <c r="H24" s="3" t="s">
        <v>124</v>
      </c>
      <c r="I24" s="10" t="s">
        <v>125</v>
      </c>
      <c r="J24" s="3"/>
      <c r="K24" s="3"/>
      <c r="L24" s="3"/>
      <c r="M24" s="3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3" t="s">
        <v>126</v>
      </c>
      <c r="B25" s="3" t="s">
        <v>127</v>
      </c>
      <c r="C25" s="3"/>
      <c r="D25" s="3" t="s">
        <v>128</v>
      </c>
      <c r="E25" s="3" t="s">
        <v>129</v>
      </c>
      <c r="F25" s="6" t="str">
        <f>IFERROR(__xludf.DUMMYFUNCTION("GOOGLETRANSLATE(E25,""pt"",""en"")"),"seed")</f>
        <v>seed</v>
      </c>
      <c r="G25" s="6" t="str">
        <f t="shared" si="2"/>
        <v>seed</v>
      </c>
      <c r="H25" s="3" t="s">
        <v>129</v>
      </c>
      <c r="I25" s="10" t="s">
        <v>130</v>
      </c>
      <c r="J25" s="3"/>
      <c r="K25" s="3"/>
      <c r="L25" s="3"/>
      <c r="M25" s="3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3" t="s">
        <v>131</v>
      </c>
      <c r="B26" s="3" t="s">
        <v>132</v>
      </c>
      <c r="C26" s="3"/>
      <c r="D26" s="3" t="s">
        <v>133</v>
      </c>
      <c r="E26" s="3" t="s">
        <v>134</v>
      </c>
      <c r="F26" s="6" t="str">
        <f>IFERROR(__xludf.DUMMYFUNCTION("GOOGLETRANSLATE(E26,""pt"",""en"")"),"toucan")</f>
        <v>toucan</v>
      </c>
      <c r="G26" s="6" t="str">
        <f t="shared" si="2"/>
        <v>toucan</v>
      </c>
      <c r="H26" s="3" t="s">
        <v>134</v>
      </c>
      <c r="I26" s="10" t="s">
        <v>135</v>
      </c>
      <c r="J26" s="3"/>
      <c r="K26" s="3"/>
      <c r="L26" s="3"/>
      <c r="M26" s="3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" t="s">
        <v>136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1" t="s">
        <v>137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1" t="s">
        <v>138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1" t="s">
        <v>139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1" t="s">
        <v>140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1" t="s">
        <v>141</v>
      </c>
      <c r="B52" s="1" t="s">
        <v>142</v>
      </c>
      <c r="C52" s="1" t="s">
        <v>2</v>
      </c>
      <c r="D52" s="1" t="s">
        <v>143</v>
      </c>
      <c r="E52" s="1"/>
      <c r="F52" s="1"/>
      <c r="G52" s="1"/>
      <c r="H52" s="1" t="s">
        <v>144</v>
      </c>
      <c r="I52" s="1" t="s">
        <v>145</v>
      </c>
      <c r="J52" s="1" t="s">
        <v>146</v>
      </c>
      <c r="K52" s="1" t="s">
        <v>147</v>
      </c>
      <c r="L52" s="1" t="s">
        <v>6</v>
      </c>
      <c r="M52" s="1" t="s">
        <v>7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3" t="s">
        <v>148</v>
      </c>
      <c r="B53" s="3" t="s">
        <v>149</v>
      </c>
      <c r="C53" s="16" t="s">
        <v>150</v>
      </c>
      <c r="D53" s="17" t="s">
        <v>151</v>
      </c>
      <c r="E53" s="18"/>
      <c r="F53" s="18"/>
      <c r="G53" s="18"/>
      <c r="H53" s="17" t="s">
        <v>152</v>
      </c>
      <c r="I53" s="9"/>
      <c r="J53" s="3">
        <v>0.0</v>
      </c>
      <c r="K53" s="3" t="s">
        <v>153</v>
      </c>
      <c r="L53" s="3"/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19" t="s">
        <v>148</v>
      </c>
      <c r="B54" s="19" t="s">
        <v>154</v>
      </c>
      <c r="C54" s="19"/>
      <c r="D54" s="20"/>
      <c r="E54" s="20"/>
      <c r="F54" s="20"/>
      <c r="G54" s="20"/>
      <c r="H54" s="20"/>
      <c r="I54" s="21"/>
      <c r="J54" s="19"/>
      <c r="K54" s="19" t="s">
        <v>155</v>
      </c>
      <c r="L54" s="19"/>
      <c r="M54" s="1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19" t="s">
        <v>148</v>
      </c>
      <c r="B55" s="19" t="s">
        <v>156</v>
      </c>
      <c r="C55" s="22" t="s">
        <v>150</v>
      </c>
      <c r="D55" s="23" t="s">
        <v>157</v>
      </c>
      <c r="E55" s="20"/>
      <c r="F55" s="20"/>
      <c r="G55" s="20"/>
      <c r="H55" s="23" t="s">
        <v>152</v>
      </c>
      <c r="I55" s="21"/>
      <c r="J55" s="19">
        <v>1.0</v>
      </c>
      <c r="K55" s="21"/>
      <c r="L55" s="21"/>
      <c r="M55" s="21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19" t="s">
        <v>158</v>
      </c>
      <c r="B56" s="19" t="s">
        <v>159</v>
      </c>
      <c r="C56" s="19"/>
      <c r="D56" s="20"/>
      <c r="E56" s="20"/>
      <c r="F56" s="20"/>
      <c r="G56" s="20"/>
      <c r="H56" s="20"/>
      <c r="I56" s="21"/>
      <c r="J56" s="19"/>
      <c r="K56" s="19" t="s">
        <v>160</v>
      </c>
      <c r="L56" s="19"/>
      <c r="M56" s="1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19" t="s">
        <v>161</v>
      </c>
      <c r="B57" s="19" t="s">
        <v>162</v>
      </c>
      <c r="C57" s="19"/>
      <c r="D57" s="20"/>
      <c r="E57" s="20"/>
      <c r="F57" s="20"/>
      <c r="G57" s="20"/>
      <c r="H57" s="20"/>
      <c r="I57" s="21"/>
      <c r="J57" s="19"/>
      <c r="K57" s="19" t="s">
        <v>102</v>
      </c>
      <c r="L57" s="19"/>
      <c r="M57" s="1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19" t="s">
        <v>163</v>
      </c>
      <c r="B58" s="24"/>
      <c r="C58" s="19"/>
      <c r="D58" s="20"/>
      <c r="E58" s="20"/>
      <c r="F58" s="20"/>
      <c r="G58" s="20"/>
      <c r="H58" s="20"/>
      <c r="I58" s="21"/>
      <c r="J58" s="19"/>
      <c r="K58" s="19" t="s">
        <v>164</v>
      </c>
      <c r="L58" s="19" t="s">
        <v>165</v>
      </c>
      <c r="M58" s="1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19" t="s">
        <v>166</v>
      </c>
      <c r="B59" s="19" t="s">
        <v>167</v>
      </c>
      <c r="C59" s="19"/>
      <c r="D59" s="20"/>
      <c r="E59" s="20"/>
      <c r="F59" s="20"/>
      <c r="G59" s="20"/>
      <c r="H59" s="20"/>
      <c r="I59" s="21"/>
      <c r="J59" s="19"/>
      <c r="K59" s="19" t="s">
        <v>116</v>
      </c>
      <c r="L59" s="19"/>
      <c r="M59" s="1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19" t="s">
        <v>168</v>
      </c>
      <c r="B60" s="19" t="s">
        <v>169</v>
      </c>
      <c r="C60" s="19"/>
      <c r="D60" s="20"/>
      <c r="E60" s="20"/>
      <c r="F60" s="20"/>
      <c r="G60" s="20"/>
      <c r="H60" s="20"/>
      <c r="I60" s="21"/>
      <c r="J60" s="19"/>
      <c r="K60" s="19" t="s">
        <v>170</v>
      </c>
      <c r="L60" s="19"/>
      <c r="M60" s="1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19" t="s">
        <v>168</v>
      </c>
      <c r="B61" s="19" t="s">
        <v>171</v>
      </c>
      <c r="C61" s="19"/>
      <c r="D61" s="20"/>
      <c r="E61" s="20"/>
      <c r="F61" s="20"/>
      <c r="G61" s="20"/>
      <c r="H61" s="20"/>
      <c r="I61" s="21"/>
      <c r="J61" s="19"/>
      <c r="K61" s="19" t="s">
        <v>73</v>
      </c>
      <c r="L61" s="19"/>
      <c r="M61" s="1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19" t="s">
        <v>172</v>
      </c>
      <c r="B62" s="19" t="s">
        <v>173</v>
      </c>
      <c r="C62" s="19"/>
      <c r="D62" s="20"/>
      <c r="E62" s="20"/>
      <c r="F62" s="20"/>
      <c r="G62" s="20"/>
      <c r="H62" s="20"/>
      <c r="I62" s="21"/>
      <c r="J62" s="19"/>
      <c r="K62" s="19" t="s">
        <v>174</v>
      </c>
      <c r="L62" s="19"/>
      <c r="M62" s="1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19" t="s">
        <v>175</v>
      </c>
      <c r="B63" s="24"/>
      <c r="C63" s="19"/>
      <c r="D63" s="20"/>
      <c r="E63" s="20"/>
      <c r="F63" s="20"/>
      <c r="G63" s="20"/>
      <c r="H63" s="20"/>
      <c r="I63" s="21"/>
      <c r="J63" s="19"/>
      <c r="K63" s="19" t="s">
        <v>176</v>
      </c>
      <c r="L63" s="19" t="s">
        <v>177</v>
      </c>
      <c r="M63" s="1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19" t="s">
        <v>178</v>
      </c>
      <c r="B64" s="24"/>
      <c r="C64" s="19"/>
      <c r="D64" s="20"/>
      <c r="E64" s="20"/>
      <c r="F64" s="20"/>
      <c r="G64" s="20"/>
      <c r="H64" s="20"/>
      <c r="I64" s="21"/>
      <c r="J64" s="19"/>
      <c r="K64" s="19" t="s">
        <v>179</v>
      </c>
      <c r="L64" s="19" t="s">
        <v>180</v>
      </c>
      <c r="M64" s="1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19" t="s">
        <v>181</v>
      </c>
      <c r="B65" s="24"/>
      <c r="C65" s="19"/>
      <c r="D65" s="20"/>
      <c r="E65" s="20"/>
      <c r="F65" s="20"/>
      <c r="G65" s="20"/>
      <c r="H65" s="20"/>
      <c r="I65" s="21"/>
      <c r="J65" s="19"/>
      <c r="K65" s="19" t="s">
        <v>182</v>
      </c>
      <c r="L65" s="19" t="s">
        <v>183</v>
      </c>
      <c r="M65" s="1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19" t="s">
        <v>184</v>
      </c>
      <c r="B66" s="19" t="s">
        <v>185</v>
      </c>
      <c r="C66" s="19"/>
      <c r="D66" s="20"/>
      <c r="E66" s="20"/>
      <c r="F66" s="20"/>
      <c r="G66" s="20"/>
      <c r="H66" s="20"/>
      <c r="I66" s="21"/>
      <c r="J66" s="19"/>
      <c r="K66" s="19" t="s">
        <v>186</v>
      </c>
      <c r="L66" s="19"/>
      <c r="M66" s="1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19" t="s">
        <v>187</v>
      </c>
      <c r="B67" s="19"/>
      <c r="C67" s="19"/>
      <c r="D67" s="20"/>
      <c r="E67" s="20"/>
      <c r="F67" s="20"/>
      <c r="G67" s="20"/>
      <c r="H67" s="20"/>
      <c r="I67" s="21"/>
      <c r="J67" s="19"/>
      <c r="K67" s="19"/>
      <c r="L67" s="19"/>
      <c r="M67" s="1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19" t="s">
        <v>188</v>
      </c>
      <c r="B68" s="19"/>
      <c r="C68" s="19"/>
      <c r="D68" s="20"/>
      <c r="E68" s="20"/>
      <c r="F68" s="20"/>
      <c r="G68" s="20"/>
      <c r="H68" s="20"/>
      <c r="I68" s="21"/>
      <c r="J68" s="19"/>
      <c r="K68" s="19"/>
      <c r="L68" s="19"/>
      <c r="M68" s="1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19"/>
      <c r="B69" s="19"/>
      <c r="C69" s="19"/>
      <c r="D69" s="20"/>
      <c r="E69" s="20"/>
      <c r="F69" s="20"/>
      <c r="G69" s="20"/>
      <c r="H69" s="20"/>
      <c r="I69" s="21"/>
      <c r="J69" s="19"/>
      <c r="K69" s="19"/>
      <c r="L69" s="19"/>
      <c r="M69" s="1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19"/>
      <c r="B70" s="19"/>
      <c r="C70" s="19"/>
      <c r="D70" s="20"/>
      <c r="E70" s="20"/>
      <c r="F70" s="20"/>
      <c r="G70" s="20"/>
      <c r="H70" s="20"/>
      <c r="I70" s="21"/>
      <c r="J70" s="19"/>
      <c r="K70" s="19"/>
      <c r="L70" s="19"/>
      <c r="M70" s="1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19"/>
      <c r="B71" s="19"/>
      <c r="C71" s="19"/>
      <c r="D71" s="20"/>
      <c r="E71" s="20"/>
      <c r="F71" s="20"/>
      <c r="G71" s="20"/>
      <c r="H71" s="20"/>
      <c r="I71" s="21"/>
      <c r="J71" s="19"/>
      <c r="K71" s="19"/>
      <c r="L71" s="19"/>
      <c r="M71" s="1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19"/>
      <c r="B72" s="19"/>
      <c r="C72" s="19"/>
      <c r="D72" s="20"/>
      <c r="E72" s="20"/>
      <c r="F72" s="20"/>
      <c r="G72" s="20"/>
      <c r="H72" s="20"/>
      <c r="I72" s="21"/>
      <c r="J72" s="19"/>
      <c r="K72" s="19"/>
      <c r="L72" s="19"/>
      <c r="M72" s="1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19"/>
      <c r="B73" s="19"/>
      <c r="C73" s="19"/>
      <c r="D73" s="20"/>
      <c r="E73" s="20"/>
      <c r="F73" s="20"/>
      <c r="G73" s="20"/>
      <c r="H73" s="20"/>
      <c r="I73" s="21"/>
      <c r="J73" s="19"/>
      <c r="K73" s="19"/>
      <c r="L73" s="19"/>
      <c r="M73" s="1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9" t="s">
        <v>148</v>
      </c>
      <c r="B74" s="19" t="s">
        <v>185</v>
      </c>
      <c r="C74" s="19"/>
      <c r="D74" s="20"/>
      <c r="E74" s="20"/>
      <c r="F74" s="20"/>
      <c r="G74" s="20"/>
      <c r="H74" s="20"/>
      <c r="I74" s="21"/>
      <c r="J74" s="19"/>
      <c r="K74" s="19" t="s">
        <v>186</v>
      </c>
      <c r="L74" s="19"/>
      <c r="M74" s="1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19" t="s">
        <v>148</v>
      </c>
      <c r="B75" s="19" t="s">
        <v>189</v>
      </c>
      <c r="C75" s="19"/>
      <c r="D75" s="20"/>
      <c r="E75" s="20"/>
      <c r="F75" s="20"/>
      <c r="G75" s="20"/>
      <c r="H75" s="20"/>
      <c r="I75" s="21"/>
      <c r="J75" s="19"/>
      <c r="K75" s="19" t="s">
        <v>190</v>
      </c>
      <c r="L75" s="19"/>
      <c r="M75" s="1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19" t="s">
        <v>148</v>
      </c>
      <c r="B76" s="19" t="s">
        <v>191</v>
      </c>
      <c r="C76" s="19"/>
      <c r="D76" s="20"/>
      <c r="E76" s="20"/>
      <c r="F76" s="20"/>
      <c r="G76" s="20"/>
      <c r="H76" s="20"/>
      <c r="I76" s="21"/>
      <c r="J76" s="19"/>
      <c r="K76" s="19" t="s">
        <v>192</v>
      </c>
      <c r="L76" s="19"/>
      <c r="M76" s="1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19" t="s">
        <v>148</v>
      </c>
      <c r="B77" s="19" t="s">
        <v>193</v>
      </c>
      <c r="C77" s="19"/>
      <c r="D77" s="20"/>
      <c r="E77" s="20"/>
      <c r="F77" s="20"/>
      <c r="G77" s="20"/>
      <c r="H77" s="20"/>
      <c r="I77" s="21"/>
      <c r="J77" s="19"/>
      <c r="K77" s="19" t="s">
        <v>194</v>
      </c>
      <c r="L77" s="19"/>
      <c r="M77" s="1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19" t="s">
        <v>148</v>
      </c>
      <c r="B78" s="24"/>
      <c r="C78" s="19"/>
      <c r="D78" s="20"/>
      <c r="E78" s="20"/>
      <c r="F78" s="20"/>
      <c r="G78" s="20"/>
      <c r="H78" s="20"/>
      <c r="I78" s="21"/>
      <c r="J78" s="19"/>
      <c r="K78" s="19" t="s">
        <v>195</v>
      </c>
      <c r="L78" s="19"/>
      <c r="M78" s="1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19" t="s">
        <v>148</v>
      </c>
      <c r="B79" s="19" t="s">
        <v>196</v>
      </c>
      <c r="C79" s="19"/>
      <c r="D79" s="20"/>
      <c r="E79" s="20"/>
      <c r="F79" s="20"/>
      <c r="G79" s="20"/>
      <c r="H79" s="20"/>
      <c r="I79" s="21"/>
      <c r="J79" s="19"/>
      <c r="K79" s="19" t="s">
        <v>197</v>
      </c>
      <c r="L79" s="19" t="s">
        <v>198</v>
      </c>
      <c r="M79" s="1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19" t="s">
        <v>148</v>
      </c>
      <c r="B80" s="24"/>
      <c r="C80" s="19"/>
      <c r="D80" s="20"/>
      <c r="E80" s="20"/>
      <c r="F80" s="20"/>
      <c r="G80" s="20"/>
      <c r="H80" s="20"/>
      <c r="I80" s="21"/>
      <c r="J80" s="19"/>
      <c r="K80" s="19" t="s">
        <v>199</v>
      </c>
      <c r="L80" s="19" t="s">
        <v>198</v>
      </c>
      <c r="M80" s="1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19" t="s">
        <v>148</v>
      </c>
      <c r="B81" s="24"/>
      <c r="C81" s="19"/>
      <c r="D81" s="20"/>
      <c r="E81" s="20"/>
      <c r="F81" s="20"/>
      <c r="G81" s="20"/>
      <c r="H81" s="20"/>
      <c r="I81" s="21"/>
      <c r="J81" s="19"/>
      <c r="K81" s="19" t="s">
        <v>200</v>
      </c>
      <c r="L81" s="19" t="s">
        <v>201</v>
      </c>
      <c r="M81" s="1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19" t="s">
        <v>148</v>
      </c>
      <c r="B82" s="19" t="s">
        <v>202</v>
      </c>
      <c r="C82" s="19"/>
      <c r="D82" s="20"/>
      <c r="E82" s="20"/>
      <c r="F82" s="20"/>
      <c r="G82" s="20"/>
      <c r="H82" s="20"/>
      <c r="I82" s="21"/>
      <c r="J82" s="19"/>
      <c r="K82" s="19" t="s">
        <v>203</v>
      </c>
      <c r="L82" s="19"/>
      <c r="M82" s="1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19" t="s">
        <v>148</v>
      </c>
      <c r="B83" s="19" t="s">
        <v>204</v>
      </c>
      <c r="C83" s="19"/>
      <c r="D83" s="20"/>
      <c r="E83" s="20"/>
      <c r="F83" s="20"/>
      <c r="G83" s="20"/>
      <c r="H83" s="20"/>
      <c r="I83" s="21"/>
      <c r="J83" s="19"/>
      <c r="K83" s="19" t="s">
        <v>205</v>
      </c>
      <c r="L83" s="19"/>
      <c r="M83" s="1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9" t="s">
        <v>148</v>
      </c>
      <c r="B84" s="19" t="s">
        <v>206</v>
      </c>
      <c r="C84" s="19"/>
      <c r="D84" s="20"/>
      <c r="E84" s="20"/>
      <c r="F84" s="20"/>
      <c r="G84" s="20"/>
      <c r="H84" s="20"/>
      <c r="I84" s="21"/>
      <c r="J84" s="19"/>
      <c r="K84" s="19" t="s">
        <v>207</v>
      </c>
      <c r="L84" s="19"/>
      <c r="M84" s="1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19" t="s">
        <v>148</v>
      </c>
      <c r="B85" s="24"/>
      <c r="C85" s="19"/>
      <c r="D85" s="20"/>
      <c r="E85" s="20"/>
      <c r="F85" s="20"/>
      <c r="G85" s="20"/>
      <c r="H85" s="20"/>
      <c r="I85" s="21"/>
      <c r="J85" s="19"/>
      <c r="K85" s="19" t="s">
        <v>208</v>
      </c>
      <c r="L85" s="19"/>
      <c r="M85" s="1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19" t="s">
        <v>148</v>
      </c>
      <c r="B86" s="19" t="s">
        <v>209</v>
      </c>
      <c r="C86" s="19"/>
      <c r="D86" s="20"/>
      <c r="E86" s="20"/>
      <c r="F86" s="20"/>
      <c r="G86" s="20"/>
      <c r="H86" s="20"/>
      <c r="I86" s="21"/>
      <c r="J86" s="19"/>
      <c r="K86" s="19" t="s">
        <v>210</v>
      </c>
      <c r="L86" s="19"/>
      <c r="M86" s="1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19" t="s">
        <v>148</v>
      </c>
      <c r="B87" s="24"/>
      <c r="C87" s="19"/>
      <c r="D87" s="20"/>
      <c r="E87" s="20"/>
      <c r="F87" s="20"/>
      <c r="G87" s="20"/>
      <c r="H87" s="20"/>
      <c r="I87" s="21"/>
      <c r="J87" s="19"/>
      <c r="K87" s="19" t="s">
        <v>211</v>
      </c>
      <c r="L87" s="19"/>
      <c r="M87" s="1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19" t="s">
        <v>148</v>
      </c>
      <c r="B88" s="24"/>
      <c r="C88" s="19"/>
      <c r="D88" s="20"/>
      <c r="E88" s="20"/>
      <c r="F88" s="20"/>
      <c r="G88" s="20"/>
      <c r="H88" s="20"/>
      <c r="I88" s="21"/>
      <c r="J88" s="19"/>
      <c r="K88" s="19" t="s">
        <v>212</v>
      </c>
      <c r="L88" s="19"/>
      <c r="M88" s="1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19" t="s">
        <v>148</v>
      </c>
      <c r="B89" s="19" t="s">
        <v>213</v>
      </c>
      <c r="C89" s="19"/>
      <c r="D89" s="20"/>
      <c r="E89" s="20"/>
      <c r="F89" s="20"/>
      <c r="G89" s="20"/>
      <c r="H89" s="20"/>
      <c r="I89" s="21"/>
      <c r="J89" s="19"/>
      <c r="K89" s="19" t="s">
        <v>214</v>
      </c>
      <c r="L89" s="19" t="s">
        <v>198</v>
      </c>
      <c r="M89" s="1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19" t="s">
        <v>148</v>
      </c>
      <c r="B90" s="19" t="s">
        <v>215</v>
      </c>
      <c r="C90" s="19"/>
      <c r="D90" s="20"/>
      <c r="E90" s="20"/>
      <c r="F90" s="20"/>
      <c r="G90" s="20"/>
      <c r="H90" s="20"/>
      <c r="I90" s="21"/>
      <c r="J90" s="19"/>
      <c r="K90" s="19" t="s">
        <v>216</v>
      </c>
      <c r="L90" s="19" t="s">
        <v>198</v>
      </c>
      <c r="M90" s="1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19" t="s">
        <v>148</v>
      </c>
      <c r="B91" s="24"/>
      <c r="C91" s="19"/>
      <c r="D91" s="20"/>
      <c r="E91" s="20"/>
      <c r="F91" s="20"/>
      <c r="G91" s="20"/>
      <c r="H91" s="20"/>
      <c r="I91" s="21"/>
      <c r="J91" s="19"/>
      <c r="K91" s="19" t="s">
        <v>217</v>
      </c>
      <c r="L91" s="19"/>
      <c r="M91" s="1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19" t="s">
        <v>148</v>
      </c>
      <c r="B92" s="19" t="s">
        <v>218</v>
      </c>
      <c r="C92" s="19"/>
      <c r="D92" s="20"/>
      <c r="E92" s="20"/>
      <c r="F92" s="20"/>
      <c r="G92" s="20"/>
      <c r="H92" s="20"/>
      <c r="I92" s="21"/>
      <c r="J92" s="19"/>
      <c r="K92" s="19" t="s">
        <v>139</v>
      </c>
      <c r="L92" s="19"/>
      <c r="M92" s="1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19" t="s">
        <v>148</v>
      </c>
      <c r="B93" s="25" t="s">
        <v>219</v>
      </c>
      <c r="C93" s="19"/>
      <c r="D93" s="20"/>
      <c r="E93" s="20"/>
      <c r="F93" s="20"/>
      <c r="G93" s="20"/>
      <c r="H93" s="20"/>
      <c r="I93" s="21"/>
      <c r="J93" s="19"/>
      <c r="K93" s="19" t="s">
        <v>140</v>
      </c>
      <c r="L93" s="19"/>
      <c r="M93" s="1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19" t="s">
        <v>148</v>
      </c>
      <c r="B94" s="25" t="s">
        <v>219</v>
      </c>
      <c r="C94" s="19"/>
      <c r="D94" s="20"/>
      <c r="E94" s="20"/>
      <c r="F94" s="20"/>
      <c r="G94" s="20"/>
      <c r="H94" s="20"/>
      <c r="I94" s="21"/>
      <c r="J94" s="19"/>
      <c r="K94" s="19" t="s">
        <v>137</v>
      </c>
      <c r="L94" s="19"/>
      <c r="M94" s="1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19" t="s">
        <v>148</v>
      </c>
      <c r="B95" s="25" t="s">
        <v>220</v>
      </c>
      <c r="C95" s="19"/>
      <c r="D95" s="20"/>
      <c r="E95" s="20"/>
      <c r="F95" s="20"/>
      <c r="G95" s="20"/>
      <c r="H95" s="20"/>
      <c r="I95" s="21"/>
      <c r="J95" s="19"/>
      <c r="K95" s="19" t="s">
        <v>138</v>
      </c>
      <c r="L95" s="19"/>
      <c r="M95" s="1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26" t="s">
        <v>221</v>
      </c>
      <c r="B96" s="26" t="s">
        <v>222</v>
      </c>
      <c r="C96" s="26"/>
      <c r="D96" s="27"/>
      <c r="E96" s="27"/>
      <c r="F96" s="27"/>
      <c r="G96" s="27"/>
      <c r="H96" s="27"/>
      <c r="I96" s="28"/>
      <c r="J96" s="26"/>
      <c r="K96" s="26" t="s">
        <v>223</v>
      </c>
      <c r="L96" s="26"/>
      <c r="M96" s="26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26" t="s">
        <v>221</v>
      </c>
      <c r="B97" s="26" t="s">
        <v>224</v>
      </c>
      <c r="C97" s="26"/>
      <c r="D97" s="27"/>
      <c r="E97" s="27"/>
      <c r="F97" s="27"/>
      <c r="G97" s="27"/>
      <c r="H97" s="27"/>
      <c r="I97" s="28"/>
      <c r="J97" s="26"/>
      <c r="K97" s="26" t="s">
        <v>225</v>
      </c>
      <c r="L97" s="26"/>
      <c r="M97" s="26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29" t="s">
        <v>221</v>
      </c>
      <c r="B98" s="30" t="s">
        <v>226</v>
      </c>
      <c r="C98" s="31"/>
      <c r="D98" s="31"/>
      <c r="E98" s="31"/>
      <c r="F98" s="31"/>
      <c r="G98" s="31"/>
      <c r="H98" s="31"/>
      <c r="I98" s="32"/>
      <c r="J98" s="31"/>
      <c r="K98" s="30" t="s">
        <v>227</v>
      </c>
      <c r="L98" s="30"/>
      <c r="M98" s="3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29" t="s">
        <v>221</v>
      </c>
      <c r="B99" s="30" t="s">
        <v>228</v>
      </c>
      <c r="C99" s="31"/>
      <c r="D99" s="31"/>
      <c r="E99" s="31"/>
      <c r="F99" s="31"/>
      <c r="G99" s="31"/>
      <c r="H99" s="31"/>
      <c r="I99" s="32"/>
      <c r="J99" s="31"/>
      <c r="K99" s="30"/>
      <c r="L99" s="30"/>
      <c r="M99" s="30"/>
      <c r="N99" s="9"/>
      <c r="O99" s="3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29" t="s">
        <v>221</v>
      </c>
      <c r="B100" s="30" t="s">
        <v>229</v>
      </c>
      <c r="C100" s="31"/>
      <c r="D100" s="31"/>
      <c r="E100" s="31"/>
      <c r="F100" s="31"/>
      <c r="G100" s="31"/>
      <c r="H100" s="31"/>
      <c r="I100" s="32"/>
      <c r="J100" s="31"/>
      <c r="K100" s="30"/>
      <c r="L100" s="30"/>
      <c r="M100" s="30"/>
      <c r="N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29" t="s">
        <v>221</v>
      </c>
      <c r="B101" s="30" t="s">
        <v>230</v>
      </c>
      <c r="C101" s="31"/>
      <c r="D101" s="31"/>
      <c r="E101" s="31"/>
      <c r="F101" s="31"/>
      <c r="G101" s="31"/>
      <c r="H101" s="31"/>
      <c r="I101" s="32"/>
      <c r="J101" s="31"/>
      <c r="K101" s="30"/>
      <c r="L101" s="30"/>
      <c r="M101" s="3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29" t="s">
        <v>221</v>
      </c>
      <c r="B102" s="30" t="s">
        <v>231</v>
      </c>
      <c r="C102" s="31"/>
      <c r="D102" s="31"/>
      <c r="E102" s="31"/>
      <c r="F102" s="31"/>
      <c r="G102" s="31"/>
      <c r="H102" s="31"/>
      <c r="I102" s="32"/>
      <c r="J102" s="31"/>
      <c r="K102" s="30"/>
      <c r="L102" s="30"/>
      <c r="M102" s="3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29" t="s">
        <v>221</v>
      </c>
      <c r="B103" s="30" t="s">
        <v>232</v>
      </c>
      <c r="C103" s="31"/>
      <c r="D103" s="31"/>
      <c r="E103" s="31"/>
      <c r="F103" s="31"/>
      <c r="G103" s="31"/>
      <c r="H103" s="31"/>
      <c r="I103" s="32"/>
      <c r="J103" s="31"/>
      <c r="K103" s="30"/>
      <c r="L103" s="30"/>
      <c r="M103" s="3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29" t="s">
        <v>221</v>
      </c>
      <c r="B104" s="30"/>
      <c r="C104" s="31"/>
      <c r="D104" s="31"/>
      <c r="E104" s="31"/>
      <c r="F104" s="31"/>
      <c r="G104" s="31"/>
      <c r="H104" s="31"/>
      <c r="I104" s="32"/>
      <c r="J104" s="31"/>
      <c r="K104" s="30"/>
      <c r="L104" s="30"/>
      <c r="M104" s="3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33"/>
      <c r="B105" s="33"/>
      <c r="C105" s="33"/>
      <c r="D105" s="34"/>
      <c r="E105" s="34"/>
      <c r="F105" s="34"/>
      <c r="G105" s="34"/>
      <c r="H105" s="34"/>
      <c r="I105" s="35"/>
      <c r="J105" s="33"/>
      <c r="K105" s="33"/>
      <c r="L105" s="33"/>
      <c r="M105" s="33"/>
      <c r="N105" s="36"/>
      <c r="O105" s="37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</row>
    <row r="106">
      <c r="A106" s="33"/>
      <c r="B106" s="33"/>
      <c r="C106" s="33"/>
      <c r="D106" s="34"/>
      <c r="E106" s="34"/>
      <c r="F106" s="34"/>
      <c r="G106" s="34"/>
      <c r="H106" s="34"/>
      <c r="I106" s="35"/>
      <c r="J106" s="33"/>
      <c r="K106" s="33"/>
      <c r="L106" s="33"/>
      <c r="M106" s="33"/>
      <c r="N106" s="36"/>
      <c r="O106" s="37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</row>
    <row r="107">
      <c r="A107" s="33"/>
      <c r="B107" s="33"/>
      <c r="C107" s="33"/>
      <c r="D107" s="34"/>
      <c r="E107" s="34"/>
      <c r="F107" s="34"/>
      <c r="G107" s="34"/>
      <c r="H107" s="34"/>
      <c r="I107" s="35"/>
      <c r="J107" s="33"/>
      <c r="K107" s="33"/>
      <c r="L107" s="33"/>
      <c r="M107" s="33"/>
      <c r="N107" s="36"/>
      <c r="O107" s="37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</row>
    <row r="108">
      <c r="A108" s="33"/>
      <c r="B108" s="33"/>
      <c r="C108" s="33"/>
      <c r="D108" s="34"/>
      <c r="E108" s="34"/>
      <c r="F108" s="34"/>
      <c r="G108" s="34"/>
      <c r="H108" s="34"/>
      <c r="I108" s="35"/>
      <c r="J108" s="33"/>
      <c r="K108" s="33"/>
      <c r="L108" s="33"/>
      <c r="M108" s="33"/>
      <c r="N108" s="36"/>
      <c r="O108" s="37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</row>
    <row r="109">
      <c r="A109" s="33"/>
      <c r="B109" s="33"/>
      <c r="C109" s="33"/>
      <c r="D109" s="34"/>
      <c r="E109" s="34"/>
      <c r="F109" s="34"/>
      <c r="G109" s="34"/>
      <c r="H109" s="34"/>
      <c r="I109" s="35"/>
      <c r="J109" s="33"/>
      <c r="K109" s="33"/>
      <c r="L109" s="33"/>
      <c r="M109" s="33"/>
      <c r="N109" s="36"/>
      <c r="O109" s="37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</row>
    <row r="110">
      <c r="A110" s="33"/>
      <c r="B110" s="33"/>
      <c r="C110" s="33"/>
      <c r="D110" s="34"/>
      <c r="E110" s="34"/>
      <c r="F110" s="34"/>
      <c r="G110" s="34"/>
      <c r="H110" s="34"/>
      <c r="I110" s="35"/>
      <c r="J110" s="33"/>
      <c r="K110" s="33"/>
      <c r="L110" s="33"/>
      <c r="M110" s="33"/>
      <c r="N110" s="36"/>
      <c r="O110" s="37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</row>
    <row r="111">
      <c r="A111" s="33"/>
      <c r="B111" s="33"/>
      <c r="C111" s="33"/>
      <c r="D111" s="34"/>
      <c r="E111" s="34"/>
      <c r="F111" s="34"/>
      <c r="G111" s="34"/>
      <c r="H111" s="34"/>
      <c r="I111" s="35"/>
      <c r="J111" s="33"/>
      <c r="K111" s="33"/>
      <c r="L111" s="33"/>
      <c r="M111" s="33"/>
      <c r="N111" s="36"/>
      <c r="O111" s="37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</row>
    <row r="112">
      <c r="A112" s="33"/>
      <c r="B112" s="33"/>
      <c r="C112" s="33"/>
      <c r="D112" s="34"/>
      <c r="E112" s="34"/>
      <c r="F112" s="34"/>
      <c r="G112" s="34"/>
      <c r="H112" s="34"/>
      <c r="I112" s="35"/>
      <c r="J112" s="33"/>
      <c r="K112" s="33"/>
      <c r="L112" s="33"/>
      <c r="M112" s="33"/>
      <c r="N112" s="36"/>
      <c r="O112" s="37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</row>
    <row r="113">
      <c r="A113" s="33"/>
      <c r="B113" s="33"/>
      <c r="C113" s="33"/>
      <c r="D113" s="34"/>
      <c r="E113" s="34"/>
      <c r="F113" s="34"/>
      <c r="G113" s="34"/>
      <c r="H113" s="34"/>
      <c r="I113" s="35"/>
      <c r="J113" s="33"/>
      <c r="K113" s="33"/>
      <c r="L113" s="33"/>
      <c r="M113" s="33"/>
      <c r="N113" s="36"/>
      <c r="O113" s="37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</row>
    <row r="114">
      <c r="A114" s="33"/>
      <c r="B114" s="33"/>
      <c r="C114" s="33"/>
      <c r="D114" s="34"/>
      <c r="E114" s="34"/>
      <c r="F114" s="34"/>
      <c r="G114" s="34"/>
      <c r="H114" s="34"/>
      <c r="I114" s="35"/>
      <c r="J114" s="33"/>
      <c r="K114" s="33"/>
      <c r="L114" s="33"/>
      <c r="M114" s="33"/>
      <c r="N114" s="36"/>
      <c r="O114" s="37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</row>
    <row r="115">
      <c r="A115" s="33"/>
      <c r="B115" s="33"/>
      <c r="C115" s="33"/>
      <c r="D115" s="34"/>
      <c r="E115" s="34"/>
      <c r="F115" s="34"/>
      <c r="G115" s="34"/>
      <c r="H115" s="34"/>
      <c r="I115" s="35"/>
      <c r="J115" s="33"/>
      <c r="K115" s="33"/>
      <c r="L115" s="33"/>
      <c r="M115" s="33"/>
      <c r="N115" s="36"/>
      <c r="O115" s="37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</row>
    <row r="116">
      <c r="A116" s="33"/>
      <c r="B116" s="33"/>
      <c r="C116" s="33"/>
      <c r="D116" s="34"/>
      <c r="E116" s="34"/>
      <c r="F116" s="34"/>
      <c r="G116" s="34"/>
      <c r="H116" s="34"/>
      <c r="I116" s="35"/>
      <c r="J116" s="33"/>
      <c r="K116" s="33"/>
      <c r="L116" s="33"/>
      <c r="M116" s="33"/>
      <c r="N116" s="36"/>
      <c r="O116" s="37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</row>
    <row r="117">
      <c r="A117" s="33"/>
      <c r="B117" s="33"/>
      <c r="C117" s="33"/>
      <c r="D117" s="34"/>
      <c r="E117" s="34"/>
      <c r="F117" s="34"/>
      <c r="G117" s="34"/>
      <c r="H117" s="34"/>
      <c r="I117" s="35"/>
      <c r="J117" s="33"/>
      <c r="K117" s="33"/>
      <c r="L117" s="33"/>
      <c r="M117" s="33"/>
      <c r="N117" s="36"/>
      <c r="O117" s="37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</row>
    <row r="118">
      <c r="A118" s="33"/>
      <c r="B118" s="33"/>
      <c r="C118" s="33"/>
      <c r="D118" s="34"/>
      <c r="E118" s="34"/>
      <c r="F118" s="34"/>
      <c r="G118" s="34"/>
      <c r="H118" s="34"/>
      <c r="I118" s="35"/>
      <c r="J118" s="33"/>
      <c r="K118" s="33"/>
      <c r="L118" s="33"/>
      <c r="M118" s="33"/>
      <c r="N118" s="36"/>
      <c r="O118" s="37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</row>
    <row r="119">
      <c r="A119" s="33"/>
      <c r="B119" s="33"/>
      <c r="C119" s="33"/>
      <c r="D119" s="34"/>
      <c r="E119" s="34"/>
      <c r="F119" s="34"/>
      <c r="G119" s="34"/>
      <c r="H119" s="34"/>
      <c r="I119" s="35"/>
      <c r="J119" s="33"/>
      <c r="K119" s="33"/>
      <c r="L119" s="33"/>
      <c r="M119" s="33"/>
      <c r="N119" s="36"/>
      <c r="O119" s="37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</row>
    <row r="120">
      <c r="A120" s="33"/>
      <c r="B120" s="33"/>
      <c r="C120" s="33"/>
      <c r="D120" s="34"/>
      <c r="E120" s="34"/>
      <c r="F120" s="34"/>
      <c r="G120" s="34"/>
      <c r="H120" s="34"/>
      <c r="I120" s="35"/>
      <c r="J120" s="33"/>
      <c r="K120" s="33"/>
      <c r="L120" s="33"/>
      <c r="M120" s="33"/>
      <c r="N120" s="36"/>
      <c r="O120" s="37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</row>
    <row r="121">
      <c r="A121" s="33"/>
      <c r="B121" s="33"/>
      <c r="C121" s="33"/>
      <c r="D121" s="34"/>
      <c r="E121" s="34"/>
      <c r="F121" s="34"/>
      <c r="G121" s="34"/>
      <c r="H121" s="34"/>
      <c r="I121" s="35"/>
      <c r="J121" s="33"/>
      <c r="K121" s="33"/>
      <c r="L121" s="33"/>
      <c r="M121" s="33"/>
      <c r="N121" s="36"/>
      <c r="O121" s="37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</row>
    <row r="122">
      <c r="A122" s="33"/>
      <c r="B122" s="33"/>
      <c r="C122" s="33"/>
      <c r="D122" s="34"/>
      <c r="E122" s="34"/>
      <c r="F122" s="34"/>
      <c r="G122" s="34"/>
      <c r="H122" s="34"/>
      <c r="I122" s="35"/>
      <c r="J122" s="33"/>
      <c r="K122" s="33"/>
      <c r="L122" s="33"/>
      <c r="M122" s="33"/>
      <c r="N122" s="36"/>
      <c r="O122" s="37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</row>
    <row r="123">
      <c r="A123" s="33"/>
      <c r="B123" s="33"/>
      <c r="C123" s="33"/>
      <c r="D123" s="34"/>
      <c r="E123" s="34"/>
      <c r="F123" s="34"/>
      <c r="G123" s="34"/>
      <c r="H123" s="34"/>
      <c r="I123" s="35"/>
      <c r="J123" s="33"/>
      <c r="K123" s="33"/>
      <c r="L123" s="33"/>
      <c r="M123" s="33"/>
      <c r="N123" s="36"/>
      <c r="O123" s="37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</row>
    <row r="124">
      <c r="A124" s="33"/>
      <c r="B124" s="33"/>
      <c r="C124" s="33"/>
      <c r="D124" s="34"/>
      <c r="E124" s="34"/>
      <c r="F124" s="34"/>
      <c r="G124" s="34"/>
      <c r="H124" s="34"/>
      <c r="I124" s="35"/>
      <c r="J124" s="33"/>
      <c r="K124" s="33"/>
      <c r="L124" s="33"/>
      <c r="M124" s="33"/>
      <c r="N124" s="36"/>
      <c r="O124" s="37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</row>
    <row r="125">
      <c r="A125" s="33"/>
      <c r="B125" s="33"/>
      <c r="C125" s="33"/>
      <c r="D125" s="34"/>
      <c r="E125" s="34"/>
      <c r="F125" s="34"/>
      <c r="G125" s="34"/>
      <c r="H125" s="34"/>
      <c r="I125" s="35"/>
      <c r="J125" s="33"/>
      <c r="K125" s="33"/>
      <c r="L125" s="33"/>
      <c r="M125" s="33"/>
      <c r="N125" s="36"/>
      <c r="O125" s="37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</row>
    <row r="126">
      <c r="A126" s="33"/>
      <c r="B126" s="33"/>
      <c r="C126" s="33"/>
      <c r="D126" s="34"/>
      <c r="E126" s="34"/>
      <c r="F126" s="34"/>
      <c r="G126" s="34"/>
      <c r="H126" s="34"/>
      <c r="I126" s="35"/>
      <c r="J126" s="33"/>
      <c r="K126" s="33"/>
      <c r="L126" s="33"/>
      <c r="M126" s="33"/>
      <c r="N126" s="36"/>
      <c r="O126" s="37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</row>
    <row r="127">
      <c r="A127" s="33"/>
      <c r="B127" s="33"/>
      <c r="C127" s="33"/>
      <c r="D127" s="34"/>
      <c r="E127" s="34"/>
      <c r="F127" s="34"/>
      <c r="G127" s="34"/>
      <c r="H127" s="34"/>
      <c r="I127" s="35"/>
      <c r="J127" s="33"/>
      <c r="K127" s="33"/>
      <c r="L127" s="33"/>
      <c r="M127" s="33"/>
      <c r="N127" s="36"/>
      <c r="O127" s="37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</row>
    <row r="128">
      <c r="A128" s="33"/>
      <c r="B128" s="33"/>
      <c r="C128" s="33"/>
      <c r="D128" s="34"/>
      <c r="E128" s="34"/>
      <c r="F128" s="34"/>
      <c r="G128" s="34"/>
      <c r="H128" s="34"/>
      <c r="I128" s="35"/>
      <c r="J128" s="33"/>
      <c r="K128" s="33"/>
      <c r="L128" s="33"/>
      <c r="M128" s="33"/>
      <c r="N128" s="36"/>
      <c r="O128" s="37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</row>
    <row r="129">
      <c r="A129" s="33"/>
      <c r="B129" s="33"/>
      <c r="C129" s="33"/>
      <c r="D129" s="34"/>
      <c r="E129" s="34"/>
      <c r="F129" s="34"/>
      <c r="G129" s="34"/>
      <c r="H129" s="34"/>
      <c r="I129" s="35"/>
      <c r="J129" s="33"/>
      <c r="K129" s="33"/>
      <c r="L129" s="33"/>
      <c r="M129" s="33"/>
      <c r="N129" s="36"/>
      <c r="O129" s="37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</row>
    <row r="130">
      <c r="A130" s="33"/>
      <c r="B130" s="33"/>
      <c r="C130" s="33"/>
      <c r="D130" s="34"/>
      <c r="E130" s="34"/>
      <c r="F130" s="34"/>
      <c r="G130" s="34"/>
      <c r="H130" s="34"/>
      <c r="I130" s="35"/>
      <c r="J130" s="33"/>
      <c r="K130" s="33"/>
      <c r="L130" s="33"/>
      <c r="M130" s="33"/>
      <c r="N130" s="36"/>
      <c r="O130" s="37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</row>
    <row r="131">
      <c r="A131" s="33"/>
      <c r="B131" s="33"/>
      <c r="C131" s="33"/>
      <c r="D131" s="34"/>
      <c r="E131" s="34"/>
      <c r="F131" s="34"/>
      <c r="G131" s="34"/>
      <c r="H131" s="34"/>
      <c r="I131" s="35"/>
      <c r="J131" s="33"/>
      <c r="K131" s="33"/>
      <c r="L131" s="33"/>
      <c r="M131" s="33"/>
      <c r="N131" s="36"/>
      <c r="O131" s="37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</row>
    <row r="132">
      <c r="A132" s="33"/>
      <c r="B132" s="33"/>
      <c r="C132" s="33"/>
      <c r="D132" s="34"/>
      <c r="E132" s="34"/>
      <c r="F132" s="34"/>
      <c r="G132" s="34"/>
      <c r="H132" s="34"/>
      <c r="I132" s="35"/>
      <c r="J132" s="33"/>
      <c r="K132" s="33"/>
      <c r="L132" s="33"/>
      <c r="M132" s="33"/>
      <c r="N132" s="36"/>
      <c r="O132" s="37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</row>
    <row r="133">
      <c r="A133" s="33"/>
      <c r="B133" s="33"/>
      <c r="C133" s="33"/>
      <c r="D133" s="34"/>
      <c r="E133" s="34"/>
      <c r="F133" s="34"/>
      <c r="G133" s="34"/>
      <c r="H133" s="34"/>
      <c r="I133" s="35"/>
      <c r="J133" s="33"/>
      <c r="K133" s="33"/>
      <c r="L133" s="33"/>
      <c r="M133" s="33"/>
      <c r="N133" s="36"/>
      <c r="O133" s="37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</row>
    <row r="134">
      <c r="A134" s="33"/>
      <c r="B134" s="33"/>
      <c r="C134" s="33"/>
      <c r="D134" s="34"/>
      <c r="E134" s="34"/>
      <c r="F134" s="34"/>
      <c r="G134" s="34"/>
      <c r="H134" s="34"/>
      <c r="I134" s="35"/>
      <c r="J134" s="33"/>
      <c r="K134" s="33"/>
      <c r="L134" s="33"/>
      <c r="M134" s="33"/>
      <c r="N134" s="36"/>
      <c r="O134" s="37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</row>
    <row r="135">
      <c r="A135" s="33"/>
      <c r="B135" s="33"/>
      <c r="C135" s="33"/>
      <c r="D135" s="34"/>
      <c r="E135" s="34"/>
      <c r="F135" s="34"/>
      <c r="G135" s="34"/>
      <c r="H135" s="34"/>
      <c r="I135" s="35"/>
      <c r="J135" s="33"/>
      <c r="K135" s="33"/>
      <c r="L135" s="33"/>
      <c r="M135" s="33"/>
      <c r="N135" s="36"/>
      <c r="O135" s="37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</row>
    <row r="136">
      <c r="A136" s="33"/>
      <c r="B136" s="33"/>
      <c r="C136" s="33"/>
      <c r="D136" s="34"/>
      <c r="E136" s="34"/>
      <c r="F136" s="34"/>
      <c r="G136" s="34"/>
      <c r="H136" s="34"/>
      <c r="I136" s="35"/>
      <c r="J136" s="33"/>
      <c r="K136" s="33"/>
      <c r="L136" s="33"/>
      <c r="M136" s="33"/>
      <c r="N136" s="36"/>
      <c r="O136" s="37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</row>
    <row r="137">
      <c r="A137" s="3" t="s">
        <v>221</v>
      </c>
      <c r="B137" s="3" t="s">
        <v>233</v>
      </c>
      <c r="C137" s="9"/>
      <c r="D137" s="3" t="s">
        <v>234</v>
      </c>
      <c r="E137" s="3"/>
      <c r="F137" s="3"/>
      <c r="G137" s="3"/>
      <c r="H137" s="9"/>
      <c r="I137" s="3" t="s">
        <v>235</v>
      </c>
      <c r="J137" s="3" t="s">
        <v>236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3" t="s">
        <v>221</v>
      </c>
      <c r="B138" s="3" t="s">
        <v>237</v>
      </c>
      <c r="C138" s="9"/>
      <c r="D138" s="3" t="s">
        <v>238</v>
      </c>
      <c r="E138" s="3"/>
      <c r="F138" s="3"/>
      <c r="G138" s="3"/>
      <c r="H138" s="9"/>
      <c r="I138" s="3" t="s">
        <v>239</v>
      </c>
      <c r="J138" s="3" t="s">
        <v>240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3" t="s">
        <v>221</v>
      </c>
      <c r="B139" s="3" t="s">
        <v>241</v>
      </c>
      <c r="C139" s="9"/>
      <c r="D139" s="3" t="s">
        <v>242</v>
      </c>
      <c r="E139" s="3"/>
      <c r="F139" s="3"/>
      <c r="G139" s="3"/>
      <c r="H139" s="9"/>
      <c r="I139" s="3" t="s">
        <v>243</v>
      </c>
      <c r="J139" s="3" t="s">
        <v>244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3" t="s">
        <v>221</v>
      </c>
      <c r="B140" s="3" t="s">
        <v>245</v>
      </c>
      <c r="C140" s="9"/>
      <c r="D140" s="3" t="s">
        <v>246</v>
      </c>
      <c r="E140" s="3"/>
      <c r="F140" s="3"/>
      <c r="G140" s="3"/>
      <c r="H140" s="9"/>
      <c r="I140" s="3" t="s">
        <v>247</v>
      </c>
      <c r="J140" s="3" t="s">
        <v>248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3" t="s">
        <v>221</v>
      </c>
      <c r="B141" s="3" t="s">
        <v>249</v>
      </c>
      <c r="C141" s="9"/>
      <c r="D141" s="3" t="s">
        <v>250</v>
      </c>
      <c r="E141" s="3"/>
      <c r="F141" s="3"/>
      <c r="G141" s="3"/>
      <c r="H141" s="9"/>
      <c r="I141" s="3" t="s">
        <v>251</v>
      </c>
      <c r="J141" s="3" t="s">
        <v>252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3" t="s">
        <v>221</v>
      </c>
      <c r="B142" s="3" t="s">
        <v>253</v>
      </c>
      <c r="C142" s="9"/>
      <c r="D142" s="3" t="s">
        <v>254</v>
      </c>
      <c r="E142" s="3"/>
      <c r="F142" s="3"/>
      <c r="G142" s="3"/>
      <c r="H142" s="9"/>
      <c r="I142" s="3" t="s">
        <v>255</v>
      </c>
      <c r="J142" s="3" t="s">
        <v>256</v>
      </c>
      <c r="N142" s="9"/>
      <c r="O142" s="3" t="s">
        <v>257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3" t="s">
        <v>221</v>
      </c>
      <c r="B143" s="3" t="s">
        <v>258</v>
      </c>
      <c r="C143" s="9"/>
      <c r="D143" s="3" t="s">
        <v>259</v>
      </c>
      <c r="E143" s="3"/>
      <c r="F143" s="3"/>
      <c r="G143" s="3"/>
      <c r="H143" s="9"/>
      <c r="I143" s="3" t="s">
        <v>260</v>
      </c>
      <c r="J143" s="3" t="s">
        <v>261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3" t="s">
        <v>221</v>
      </c>
      <c r="B144" s="3" t="s">
        <v>262</v>
      </c>
      <c r="C144" s="9"/>
      <c r="D144" s="3" t="s">
        <v>263</v>
      </c>
      <c r="E144" s="3"/>
      <c r="F144" s="3"/>
      <c r="G144" s="3"/>
      <c r="H144" s="9"/>
      <c r="I144" s="3" t="s">
        <v>264</v>
      </c>
      <c r="J144" s="3" t="s">
        <v>252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3" t="s">
        <v>221</v>
      </c>
      <c r="B145" s="3" t="s">
        <v>265</v>
      </c>
      <c r="C145" s="9"/>
      <c r="D145" s="3" t="s">
        <v>266</v>
      </c>
      <c r="E145" s="3"/>
      <c r="F145" s="3"/>
      <c r="G145" s="3"/>
      <c r="H145" s="9"/>
      <c r="I145" s="3" t="s">
        <v>267</v>
      </c>
      <c r="J145" s="3" t="s">
        <v>248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</row>
  </sheetData>
  <mergeCells count="1">
    <mergeCell ref="O99:O100"/>
  </mergeCell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C53"/>
    <hyperlink r:id="rId27" ref="D53"/>
    <hyperlink r:id="rId28" ref="H53"/>
    <hyperlink r:id="rId29" ref="C55"/>
    <hyperlink r:id="rId30" ref="D55"/>
    <hyperlink r:id="rId31" ref="H55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39.25"/>
  </cols>
  <sheetData>
    <row r="1">
      <c r="A1" s="38" t="s">
        <v>4</v>
      </c>
      <c r="B1" s="38" t="s">
        <v>3</v>
      </c>
    </row>
    <row r="2">
      <c r="A2" s="39" t="s">
        <v>268</v>
      </c>
      <c r="B2" s="40" t="s">
        <v>234</v>
      </c>
    </row>
    <row r="3">
      <c r="A3" s="39" t="s">
        <v>269</v>
      </c>
      <c r="B3" s="40" t="s">
        <v>270</v>
      </c>
    </row>
    <row r="4">
      <c r="A4" s="39" t="s">
        <v>271</v>
      </c>
      <c r="B4" s="40" t="s">
        <v>272</v>
      </c>
    </row>
    <row r="5">
      <c r="A5" s="39" t="s">
        <v>273</v>
      </c>
      <c r="B5" s="40" t="s">
        <v>274</v>
      </c>
    </row>
    <row r="6">
      <c r="A6" s="39" t="s">
        <v>275</v>
      </c>
      <c r="B6" s="40" t="s">
        <v>276</v>
      </c>
    </row>
    <row r="7">
      <c r="A7" s="39" t="s">
        <v>277</v>
      </c>
      <c r="B7" s="40" t="s">
        <v>278</v>
      </c>
    </row>
    <row r="8">
      <c r="A8" s="39" t="s">
        <v>265</v>
      </c>
      <c r="B8" s="40" t="s">
        <v>266</v>
      </c>
    </row>
    <row r="9">
      <c r="A9" s="39" t="s">
        <v>237</v>
      </c>
      <c r="B9" s="40" t="s">
        <v>238</v>
      </c>
    </row>
    <row r="10">
      <c r="A10" s="39" t="s">
        <v>279</v>
      </c>
      <c r="B10" s="40" t="s">
        <v>280</v>
      </c>
    </row>
    <row r="11">
      <c r="A11" s="39" t="s">
        <v>281</v>
      </c>
      <c r="B11" s="40" t="s">
        <v>282</v>
      </c>
    </row>
    <row r="12">
      <c r="A12" s="39" t="s">
        <v>283</v>
      </c>
      <c r="B12" s="40" t="s">
        <v>284</v>
      </c>
    </row>
    <row r="13">
      <c r="A13" s="39" t="s">
        <v>285</v>
      </c>
      <c r="B13" s="40" t="s">
        <v>286</v>
      </c>
    </row>
    <row r="14">
      <c r="A14" s="39" t="s">
        <v>287</v>
      </c>
      <c r="B14" s="40" t="s">
        <v>288</v>
      </c>
    </row>
    <row r="15">
      <c r="A15" s="39" t="s">
        <v>289</v>
      </c>
      <c r="B15" s="40" t="s">
        <v>290</v>
      </c>
    </row>
    <row r="16">
      <c r="A16" s="39" t="s">
        <v>291</v>
      </c>
      <c r="B16" s="40" t="s">
        <v>292</v>
      </c>
    </row>
    <row r="17">
      <c r="A17" s="39" t="s">
        <v>293</v>
      </c>
      <c r="B17" s="40" t="s">
        <v>294</v>
      </c>
    </row>
    <row r="18">
      <c r="A18" s="39" t="s">
        <v>295</v>
      </c>
      <c r="B18" s="40" t="s">
        <v>296</v>
      </c>
    </row>
    <row r="19">
      <c r="A19" s="39" t="s">
        <v>116</v>
      </c>
      <c r="B19" s="40" t="s">
        <v>297</v>
      </c>
    </row>
    <row r="20">
      <c r="A20" s="39" t="s">
        <v>92</v>
      </c>
      <c r="B20" s="40" t="s">
        <v>298</v>
      </c>
    </row>
    <row r="21">
      <c r="A21" s="39" t="s">
        <v>299</v>
      </c>
      <c r="B21" s="40" t="s">
        <v>300</v>
      </c>
    </row>
    <row r="22">
      <c r="A22" s="39" t="s">
        <v>301</v>
      </c>
      <c r="B22" s="40" t="s">
        <v>302</v>
      </c>
    </row>
    <row r="23">
      <c r="A23" s="39" t="s">
        <v>303</v>
      </c>
      <c r="B23" s="40" t="s">
        <v>304</v>
      </c>
    </row>
    <row r="24">
      <c r="A24" s="39" t="s">
        <v>303</v>
      </c>
      <c r="B24" s="40" t="s">
        <v>304</v>
      </c>
    </row>
    <row r="25">
      <c r="A25" s="39" t="s">
        <v>305</v>
      </c>
      <c r="B25" s="40" t="s">
        <v>306</v>
      </c>
    </row>
    <row r="26">
      <c r="A26" s="39" t="s">
        <v>307</v>
      </c>
      <c r="B26" s="39" t="s">
        <v>308</v>
      </c>
    </row>
    <row r="27">
      <c r="A27" s="39" t="s">
        <v>309</v>
      </c>
      <c r="B27" s="40" t="s">
        <v>310</v>
      </c>
    </row>
    <row r="28">
      <c r="A28" s="39" t="s">
        <v>311</v>
      </c>
      <c r="B28" s="40" t="s">
        <v>312</v>
      </c>
    </row>
    <row r="29">
      <c r="A29" s="39" t="s">
        <v>313</v>
      </c>
      <c r="B29" s="40" t="s">
        <v>314</v>
      </c>
    </row>
    <row r="30">
      <c r="A30" s="39" t="s">
        <v>315</v>
      </c>
      <c r="B30" s="40" t="s">
        <v>316</v>
      </c>
    </row>
    <row r="31">
      <c r="A31" s="39" t="s">
        <v>317</v>
      </c>
      <c r="B31" s="40" t="s">
        <v>318</v>
      </c>
    </row>
    <row r="32">
      <c r="A32" s="39" t="s">
        <v>319</v>
      </c>
      <c r="B32" s="40" t="s">
        <v>320</v>
      </c>
    </row>
    <row r="33">
      <c r="A33" s="39" t="s">
        <v>321</v>
      </c>
      <c r="B33" s="40" t="s">
        <v>322</v>
      </c>
    </row>
    <row r="34">
      <c r="A34" s="39" t="s">
        <v>323</v>
      </c>
      <c r="B34" s="40" t="s">
        <v>324</v>
      </c>
    </row>
    <row r="35">
      <c r="A35" s="39" t="s">
        <v>325</v>
      </c>
      <c r="B35" s="40" t="s">
        <v>326</v>
      </c>
    </row>
    <row r="36">
      <c r="A36" s="39" t="s">
        <v>107</v>
      </c>
      <c r="B36" s="40" t="s">
        <v>327</v>
      </c>
    </row>
    <row r="37">
      <c r="A37" s="39" t="s">
        <v>328</v>
      </c>
      <c r="B37" s="40" t="s">
        <v>329</v>
      </c>
    </row>
    <row r="38">
      <c r="A38" s="39" t="s">
        <v>330</v>
      </c>
      <c r="B38" s="40" t="s">
        <v>331</v>
      </c>
    </row>
    <row r="39">
      <c r="A39" s="39" t="s">
        <v>332</v>
      </c>
      <c r="B39" s="40" t="s">
        <v>333</v>
      </c>
    </row>
    <row r="40">
      <c r="A40" s="39" t="s">
        <v>334</v>
      </c>
      <c r="B40" s="40" t="s">
        <v>335</v>
      </c>
    </row>
    <row r="41">
      <c r="A41" s="39" t="s">
        <v>334</v>
      </c>
      <c r="B41" s="40" t="s">
        <v>336</v>
      </c>
    </row>
    <row r="42">
      <c r="A42" s="39" t="s">
        <v>87</v>
      </c>
      <c r="B42" s="40" t="s">
        <v>337</v>
      </c>
    </row>
    <row r="43">
      <c r="A43" s="39" t="s">
        <v>338</v>
      </c>
      <c r="B43" s="40" t="s">
        <v>339</v>
      </c>
    </row>
    <row r="44">
      <c r="A44" s="39" t="s">
        <v>340</v>
      </c>
      <c r="B44" s="40" t="s">
        <v>341</v>
      </c>
    </row>
    <row r="45">
      <c r="A45" s="39" t="s">
        <v>340</v>
      </c>
      <c r="B45" s="40" t="s">
        <v>342</v>
      </c>
    </row>
    <row r="46">
      <c r="A46" s="39" t="s">
        <v>343</v>
      </c>
      <c r="B46" s="40" t="s">
        <v>344</v>
      </c>
    </row>
    <row r="47">
      <c r="A47" s="39" t="s">
        <v>345</v>
      </c>
      <c r="B47" s="40" t="s">
        <v>346</v>
      </c>
    </row>
    <row r="48">
      <c r="A48" s="39" t="s">
        <v>347</v>
      </c>
      <c r="B48" s="40" t="s">
        <v>348</v>
      </c>
    </row>
    <row r="49">
      <c r="A49" s="39" t="s">
        <v>120</v>
      </c>
      <c r="B49" s="40" t="s">
        <v>349</v>
      </c>
    </row>
    <row r="50">
      <c r="A50" s="39" t="s">
        <v>350</v>
      </c>
      <c r="B50" s="40" t="s">
        <v>351</v>
      </c>
    </row>
    <row r="51">
      <c r="A51" s="39" t="s">
        <v>352</v>
      </c>
      <c r="B51" s="40" t="s">
        <v>353</v>
      </c>
    </row>
    <row r="52">
      <c r="A52" s="39" t="s">
        <v>78</v>
      </c>
      <c r="B52" s="40" t="s">
        <v>354</v>
      </c>
    </row>
    <row r="53">
      <c r="A53" s="39" t="s">
        <v>355</v>
      </c>
      <c r="B53" s="40" t="s">
        <v>356</v>
      </c>
    </row>
    <row r="54">
      <c r="A54" s="39" t="s">
        <v>357</v>
      </c>
      <c r="B54" s="40" t="s">
        <v>358</v>
      </c>
    </row>
    <row r="55">
      <c r="A55" s="39" t="s">
        <v>359</v>
      </c>
      <c r="B55" s="40" t="s">
        <v>360</v>
      </c>
    </row>
    <row r="56">
      <c r="A56" s="39" t="s">
        <v>361</v>
      </c>
      <c r="B56" s="40" t="s">
        <v>362</v>
      </c>
    </row>
    <row r="57">
      <c r="A57" s="39" t="s">
        <v>67</v>
      </c>
      <c r="B57" s="40" t="s">
        <v>363</v>
      </c>
    </row>
    <row r="58">
      <c r="A58" s="39" t="s">
        <v>364</v>
      </c>
      <c r="B58" s="40" t="s">
        <v>365</v>
      </c>
    </row>
    <row r="59">
      <c r="A59" s="39" t="s">
        <v>366</v>
      </c>
      <c r="B59" s="40" t="s">
        <v>367</v>
      </c>
    </row>
    <row r="60">
      <c r="A60" s="39" t="s">
        <v>368</v>
      </c>
      <c r="B60" s="40" t="s">
        <v>369</v>
      </c>
    </row>
    <row r="61">
      <c r="A61" s="39" t="s">
        <v>46</v>
      </c>
      <c r="B61" s="40" t="s">
        <v>370</v>
      </c>
    </row>
    <row r="62">
      <c r="A62" s="39" t="s">
        <v>371</v>
      </c>
      <c r="B62" s="40" t="s">
        <v>372</v>
      </c>
    </row>
    <row r="63">
      <c r="A63" s="39" t="s">
        <v>253</v>
      </c>
      <c r="B63" s="40" t="s">
        <v>254</v>
      </c>
    </row>
    <row r="64">
      <c r="A64" s="39" t="s">
        <v>192</v>
      </c>
      <c r="B64" s="40" t="s">
        <v>373</v>
      </c>
    </row>
    <row r="65">
      <c r="A65" s="39" t="s">
        <v>374</v>
      </c>
      <c r="B65" s="40" t="s">
        <v>375</v>
      </c>
    </row>
    <row r="66">
      <c r="A66" s="39" t="s">
        <v>376</v>
      </c>
      <c r="B66" s="40" t="s">
        <v>377</v>
      </c>
    </row>
    <row r="67">
      <c r="A67" s="39" t="s">
        <v>12</v>
      </c>
      <c r="B67" s="40" t="s">
        <v>378</v>
      </c>
    </row>
    <row r="68">
      <c r="A68" s="39" t="s">
        <v>379</v>
      </c>
      <c r="B68" s="40" t="s">
        <v>380</v>
      </c>
    </row>
    <row r="69">
      <c r="A69" s="39" t="s">
        <v>381</v>
      </c>
      <c r="B69" s="40" t="s">
        <v>382</v>
      </c>
    </row>
    <row r="70">
      <c r="A70" s="39" t="s">
        <v>383</v>
      </c>
      <c r="B70" s="40" t="s">
        <v>384</v>
      </c>
    </row>
    <row r="71">
      <c r="A71" s="39" t="s">
        <v>385</v>
      </c>
      <c r="B71" s="40" t="s">
        <v>386</v>
      </c>
    </row>
    <row r="72">
      <c r="A72" s="39" t="s">
        <v>387</v>
      </c>
      <c r="B72" s="40" t="s">
        <v>388</v>
      </c>
    </row>
    <row r="73">
      <c r="A73" s="39" t="s">
        <v>389</v>
      </c>
      <c r="B73" s="40" t="s">
        <v>390</v>
      </c>
    </row>
    <row r="74">
      <c r="A74" s="39" t="s">
        <v>391</v>
      </c>
      <c r="B74" s="40" t="s">
        <v>392</v>
      </c>
    </row>
    <row r="75">
      <c r="A75" s="39" t="s">
        <v>393</v>
      </c>
      <c r="B75" s="40" t="s">
        <v>394</v>
      </c>
    </row>
    <row r="76">
      <c r="A76" s="39" t="s">
        <v>395</v>
      </c>
      <c r="B76" s="40" t="s">
        <v>396</v>
      </c>
    </row>
    <row r="77">
      <c r="A77" s="39" t="s">
        <v>397</v>
      </c>
      <c r="B77" s="40" t="s">
        <v>398</v>
      </c>
    </row>
    <row r="78">
      <c r="A78" s="39" t="s">
        <v>57</v>
      </c>
      <c r="B78" s="40" t="s">
        <v>399</v>
      </c>
    </row>
    <row r="79">
      <c r="A79" s="39" t="s">
        <v>400</v>
      </c>
      <c r="B79" s="40" t="s">
        <v>401</v>
      </c>
    </row>
    <row r="80">
      <c r="A80" s="39" t="s">
        <v>402</v>
      </c>
      <c r="B80" s="40" t="s">
        <v>403</v>
      </c>
    </row>
    <row r="81">
      <c r="A81" s="39" t="s">
        <v>404</v>
      </c>
      <c r="B81" s="40" t="s">
        <v>405</v>
      </c>
    </row>
    <row r="82">
      <c r="A82" s="39" t="s">
        <v>406</v>
      </c>
      <c r="B82" s="40" t="s">
        <v>407</v>
      </c>
    </row>
    <row r="83">
      <c r="A83" s="39" t="s">
        <v>408</v>
      </c>
      <c r="B83" s="40" t="s">
        <v>409</v>
      </c>
    </row>
    <row r="84">
      <c r="A84" s="39" t="s">
        <v>410</v>
      </c>
      <c r="B84" s="40" t="s">
        <v>411</v>
      </c>
    </row>
    <row r="85">
      <c r="A85" s="39" t="s">
        <v>412</v>
      </c>
      <c r="B85" s="40" t="s">
        <v>413</v>
      </c>
    </row>
    <row r="86">
      <c r="A86" s="39" t="s">
        <v>414</v>
      </c>
      <c r="B86" s="40" t="s">
        <v>415</v>
      </c>
    </row>
    <row r="87">
      <c r="A87" s="39" t="s">
        <v>416</v>
      </c>
      <c r="B87" s="40" t="s">
        <v>417</v>
      </c>
    </row>
    <row r="88">
      <c r="A88" s="39" t="s">
        <v>418</v>
      </c>
      <c r="B88" s="40" t="s">
        <v>419</v>
      </c>
    </row>
    <row r="89">
      <c r="A89" s="39" t="s">
        <v>420</v>
      </c>
      <c r="B89" s="40" t="s">
        <v>421</v>
      </c>
    </row>
    <row r="90">
      <c r="A90" s="39" t="s">
        <v>422</v>
      </c>
      <c r="B90" s="40" t="s">
        <v>423</v>
      </c>
    </row>
    <row r="91">
      <c r="A91" s="39" t="s">
        <v>424</v>
      </c>
      <c r="B91" s="40" t="s">
        <v>425</v>
      </c>
    </row>
    <row r="92">
      <c r="A92" s="39" t="s">
        <v>426</v>
      </c>
      <c r="B92" s="40" t="s">
        <v>427</v>
      </c>
    </row>
    <row r="93">
      <c r="A93" s="39" t="s">
        <v>428</v>
      </c>
      <c r="B93" s="40" t="s">
        <v>429</v>
      </c>
    </row>
    <row r="94">
      <c r="A94" s="39" t="s">
        <v>430</v>
      </c>
      <c r="B94" s="40" t="s">
        <v>431</v>
      </c>
    </row>
    <row r="95">
      <c r="A95" s="39" t="s">
        <v>245</v>
      </c>
      <c r="B95" s="40" t="s">
        <v>432</v>
      </c>
    </row>
    <row r="96">
      <c r="A96" s="39" t="s">
        <v>433</v>
      </c>
      <c r="B96" s="40" t="s">
        <v>434</v>
      </c>
    </row>
    <row r="97">
      <c r="A97" s="39" t="s">
        <v>435</v>
      </c>
      <c r="B97" s="40" t="s">
        <v>436</v>
      </c>
    </row>
    <row r="98">
      <c r="A98" s="39" t="s">
        <v>437</v>
      </c>
      <c r="B98" s="40" t="s">
        <v>431</v>
      </c>
    </row>
    <row r="99">
      <c r="A99" s="39" t="s">
        <v>438</v>
      </c>
      <c r="B99" s="40" t="s">
        <v>439</v>
      </c>
    </row>
    <row r="100">
      <c r="A100" s="39" t="s">
        <v>440</v>
      </c>
      <c r="B100" s="40" t="s">
        <v>441</v>
      </c>
    </row>
    <row r="101">
      <c r="A101" s="39" t="s">
        <v>442</v>
      </c>
      <c r="B101" s="40" t="s">
        <v>443</v>
      </c>
    </row>
    <row r="102">
      <c r="A102" s="39" t="s">
        <v>444</v>
      </c>
      <c r="B102" s="40" t="s">
        <v>445</v>
      </c>
    </row>
    <row r="103">
      <c r="A103" s="39" t="s">
        <v>446</v>
      </c>
      <c r="B103" s="40" t="s">
        <v>447</v>
      </c>
    </row>
    <row r="104">
      <c r="A104" s="39" t="s">
        <v>448</v>
      </c>
      <c r="B104" s="40" t="s">
        <v>449</v>
      </c>
    </row>
    <row r="105">
      <c r="A105" s="39" t="s">
        <v>450</v>
      </c>
      <c r="B105" s="40" t="s">
        <v>451</v>
      </c>
    </row>
    <row r="106">
      <c r="A106" s="39" t="s">
        <v>452</v>
      </c>
      <c r="B106" s="40" t="s">
        <v>453</v>
      </c>
    </row>
    <row r="107">
      <c r="A107" s="39" t="s">
        <v>454</v>
      </c>
      <c r="B107" s="40" t="s">
        <v>455</v>
      </c>
    </row>
    <row r="108">
      <c r="A108" s="39" t="s">
        <v>456</v>
      </c>
      <c r="B108" s="40" t="s">
        <v>457</v>
      </c>
    </row>
    <row r="109">
      <c r="A109" s="39" t="s">
        <v>458</v>
      </c>
      <c r="B109" s="39" t="s">
        <v>459</v>
      </c>
    </row>
    <row r="110">
      <c r="A110" s="39" t="s">
        <v>460</v>
      </c>
      <c r="B110" s="40" t="s">
        <v>461</v>
      </c>
    </row>
    <row r="111">
      <c r="A111" s="39" t="s">
        <v>460</v>
      </c>
      <c r="B111" s="40" t="s">
        <v>398</v>
      </c>
    </row>
    <row r="112">
      <c r="A112" s="39" t="s">
        <v>462</v>
      </c>
      <c r="B112" s="40" t="s">
        <v>463</v>
      </c>
    </row>
    <row r="113">
      <c r="A113" s="39" t="s">
        <v>241</v>
      </c>
      <c r="B113" s="40" t="s">
        <v>242</v>
      </c>
    </row>
    <row r="114">
      <c r="A114" s="39" t="s">
        <v>464</v>
      </c>
      <c r="B114" s="40" t="s">
        <v>259</v>
      </c>
    </row>
    <row r="115">
      <c r="A115" s="39" t="s">
        <v>465</v>
      </c>
      <c r="B115" s="40" t="s">
        <v>466</v>
      </c>
    </row>
    <row r="116">
      <c r="A116" s="39" t="s">
        <v>467</v>
      </c>
      <c r="B116" s="40" t="s">
        <v>468</v>
      </c>
    </row>
    <row r="117">
      <c r="A117" s="39" t="s">
        <v>469</v>
      </c>
      <c r="B117" s="40" t="s">
        <v>470</v>
      </c>
    </row>
    <row r="118">
      <c r="A118" s="39" t="s">
        <v>471</v>
      </c>
      <c r="B118" s="40" t="s">
        <v>472</v>
      </c>
    </row>
    <row r="119">
      <c r="A119" s="39" t="s">
        <v>473</v>
      </c>
      <c r="B119" s="40" t="s">
        <v>474</v>
      </c>
    </row>
    <row r="120">
      <c r="A120" s="39" t="s">
        <v>475</v>
      </c>
      <c r="B120" s="40" t="s">
        <v>476</v>
      </c>
    </row>
    <row r="121">
      <c r="A121" s="39" t="s">
        <v>207</v>
      </c>
      <c r="B121" s="40" t="s">
        <v>477</v>
      </c>
    </row>
    <row r="122">
      <c r="A122" s="39" t="s">
        <v>197</v>
      </c>
      <c r="B122" s="40" t="s">
        <v>478</v>
      </c>
    </row>
    <row r="123">
      <c r="A123" s="39" t="s">
        <v>479</v>
      </c>
      <c r="B123" s="40" t="s">
        <v>480</v>
      </c>
    </row>
    <row r="124">
      <c r="A124" s="39" t="s">
        <v>481</v>
      </c>
      <c r="B124" s="40" t="s">
        <v>482</v>
      </c>
    </row>
    <row r="125">
      <c r="A125" s="39" t="s">
        <v>97</v>
      </c>
      <c r="B125" s="40" t="s">
        <v>483</v>
      </c>
    </row>
    <row r="126">
      <c r="A126" s="39" t="s">
        <v>484</v>
      </c>
      <c r="B126" s="40" t="s">
        <v>485</v>
      </c>
    </row>
    <row r="127">
      <c r="A127" s="39" t="s">
        <v>486</v>
      </c>
      <c r="B127" s="40" t="s">
        <v>487</v>
      </c>
    </row>
    <row r="128">
      <c r="A128" s="39" t="s">
        <v>488</v>
      </c>
      <c r="B128" s="40" t="s">
        <v>489</v>
      </c>
    </row>
    <row r="129">
      <c r="A129" s="39" t="s">
        <v>490</v>
      </c>
      <c r="B129" s="40" t="s">
        <v>491</v>
      </c>
    </row>
    <row r="130">
      <c r="A130" s="39" t="s">
        <v>153</v>
      </c>
      <c r="B130" s="40" t="s">
        <v>492</v>
      </c>
    </row>
    <row r="131">
      <c r="A131" s="39" t="s">
        <v>493</v>
      </c>
      <c r="B131" s="40" t="s">
        <v>494</v>
      </c>
    </row>
    <row r="132">
      <c r="A132" s="39" t="s">
        <v>495</v>
      </c>
      <c r="B132" s="40" t="s">
        <v>496</v>
      </c>
    </row>
    <row r="133">
      <c r="A133" s="39" t="s">
        <v>497</v>
      </c>
      <c r="B133" s="40" t="s">
        <v>498</v>
      </c>
    </row>
    <row r="134">
      <c r="A134" s="39" t="s">
        <v>499</v>
      </c>
      <c r="B134" s="40" t="s">
        <v>500</v>
      </c>
    </row>
    <row r="135">
      <c r="A135" s="39" t="s">
        <v>501</v>
      </c>
      <c r="B135" s="40" t="s">
        <v>502</v>
      </c>
    </row>
    <row r="136">
      <c r="A136" s="39" t="s">
        <v>503</v>
      </c>
      <c r="B136" s="40" t="s">
        <v>504</v>
      </c>
    </row>
    <row r="137">
      <c r="A137" s="39" t="s">
        <v>505</v>
      </c>
      <c r="B137" s="40" t="s">
        <v>506</v>
      </c>
    </row>
    <row r="138">
      <c r="A138" s="39" t="s">
        <v>507</v>
      </c>
      <c r="B138" s="40" t="s">
        <v>508</v>
      </c>
    </row>
    <row r="139">
      <c r="A139" s="39" t="s">
        <v>509</v>
      </c>
      <c r="B139" s="40" t="s">
        <v>510</v>
      </c>
    </row>
    <row r="140">
      <c r="A140" s="39" t="s">
        <v>511</v>
      </c>
      <c r="B140" s="40" t="s">
        <v>512</v>
      </c>
    </row>
    <row r="141">
      <c r="A141" s="39" t="s">
        <v>513</v>
      </c>
      <c r="B141" s="40" t="s">
        <v>514</v>
      </c>
    </row>
    <row r="142">
      <c r="A142" s="39" t="s">
        <v>138</v>
      </c>
      <c r="B142" s="40" t="s">
        <v>515</v>
      </c>
    </row>
    <row r="143">
      <c r="A143" s="39" t="s">
        <v>516</v>
      </c>
      <c r="B143" s="40" t="s">
        <v>517</v>
      </c>
    </row>
    <row r="144">
      <c r="A144" s="39" t="s">
        <v>518</v>
      </c>
      <c r="B144" s="40" t="s">
        <v>519</v>
      </c>
    </row>
    <row r="145">
      <c r="A145" s="39" t="s">
        <v>520</v>
      </c>
      <c r="B145" s="40" t="s">
        <v>521</v>
      </c>
    </row>
    <row r="146">
      <c r="A146" s="39" t="s">
        <v>522</v>
      </c>
      <c r="B146" s="40" t="s">
        <v>523</v>
      </c>
    </row>
    <row r="147">
      <c r="A147" s="39" t="s">
        <v>524</v>
      </c>
      <c r="B147" s="40" t="s">
        <v>525</v>
      </c>
    </row>
    <row r="148">
      <c r="A148" s="39" t="s">
        <v>30</v>
      </c>
      <c r="B148" s="40" t="s">
        <v>526</v>
      </c>
    </row>
    <row r="149">
      <c r="A149" s="39" t="s">
        <v>527</v>
      </c>
      <c r="B149" s="40" t="s">
        <v>528</v>
      </c>
    </row>
    <row r="150">
      <c r="A150" s="39" t="s">
        <v>529</v>
      </c>
      <c r="B150" s="40" t="s">
        <v>530</v>
      </c>
    </row>
    <row r="151">
      <c r="A151" s="39" t="s">
        <v>531</v>
      </c>
      <c r="B151" s="40" t="s">
        <v>532</v>
      </c>
    </row>
    <row r="152">
      <c r="A152" s="39" t="s">
        <v>533</v>
      </c>
      <c r="B152" s="40" t="s">
        <v>534</v>
      </c>
    </row>
    <row r="153">
      <c r="A153" s="39" t="s">
        <v>535</v>
      </c>
      <c r="B153" s="40" t="s">
        <v>536</v>
      </c>
    </row>
    <row r="154">
      <c r="A154" s="39" t="s">
        <v>176</v>
      </c>
      <c r="B154" s="40" t="s">
        <v>537</v>
      </c>
    </row>
    <row r="155">
      <c r="A155" s="39" t="s">
        <v>176</v>
      </c>
      <c r="B155" s="40" t="s">
        <v>538</v>
      </c>
    </row>
    <row r="156">
      <c r="A156" s="39" t="s">
        <v>539</v>
      </c>
      <c r="B156" s="40" t="s">
        <v>540</v>
      </c>
    </row>
    <row r="157">
      <c r="A157" s="39" t="s">
        <v>541</v>
      </c>
      <c r="B157" s="40" t="s">
        <v>542</v>
      </c>
    </row>
    <row r="158">
      <c r="A158" s="39" t="s">
        <v>543</v>
      </c>
      <c r="B158" s="40" t="s">
        <v>544</v>
      </c>
    </row>
    <row r="159">
      <c r="A159" s="39" t="s">
        <v>545</v>
      </c>
      <c r="B159" s="40" t="s">
        <v>546</v>
      </c>
    </row>
    <row r="160">
      <c r="A160" s="39" t="s">
        <v>52</v>
      </c>
      <c r="B160" s="40" t="s">
        <v>547</v>
      </c>
    </row>
    <row r="161">
      <c r="A161" s="39" t="s">
        <v>548</v>
      </c>
      <c r="B161" s="40" t="s">
        <v>549</v>
      </c>
    </row>
    <row r="162">
      <c r="A162" s="39" t="s">
        <v>550</v>
      </c>
      <c r="B162" s="40" t="s">
        <v>551</v>
      </c>
    </row>
    <row r="163">
      <c r="A163" s="39" t="s">
        <v>552</v>
      </c>
      <c r="B163" s="40" t="s">
        <v>553</v>
      </c>
    </row>
    <row r="164">
      <c r="A164" s="39" t="s">
        <v>19</v>
      </c>
      <c r="B164" s="40" t="s">
        <v>554</v>
      </c>
    </row>
    <row r="165">
      <c r="A165" s="39" t="s">
        <v>160</v>
      </c>
      <c r="B165" s="40" t="s">
        <v>555</v>
      </c>
    </row>
    <row r="166">
      <c r="A166" s="39" t="s">
        <v>556</v>
      </c>
      <c r="B166" s="40" t="s">
        <v>557</v>
      </c>
    </row>
    <row r="167">
      <c r="A167" s="39" t="s">
        <v>558</v>
      </c>
      <c r="B167" s="40" t="s">
        <v>559</v>
      </c>
    </row>
    <row r="168">
      <c r="A168" s="39" t="s">
        <v>63</v>
      </c>
      <c r="B168" s="40" t="s">
        <v>560</v>
      </c>
    </row>
    <row r="169">
      <c r="A169" s="39" t="s">
        <v>561</v>
      </c>
      <c r="B169" s="40" t="s">
        <v>562</v>
      </c>
    </row>
    <row r="170">
      <c r="A170" s="39" t="s">
        <v>563</v>
      </c>
      <c r="B170" s="40" t="s">
        <v>564</v>
      </c>
    </row>
    <row r="171">
      <c r="A171" s="39" t="s">
        <v>565</v>
      </c>
      <c r="B171" s="40" t="s">
        <v>566</v>
      </c>
    </row>
    <row r="172">
      <c r="A172" s="39" t="s">
        <v>567</v>
      </c>
      <c r="B172" s="40" t="s">
        <v>568</v>
      </c>
    </row>
    <row r="173">
      <c r="A173" s="39" t="s">
        <v>569</v>
      </c>
      <c r="B173" s="40" t="s">
        <v>570</v>
      </c>
    </row>
    <row r="174">
      <c r="A174" s="39" t="s">
        <v>571</v>
      </c>
      <c r="B174" s="40" t="s">
        <v>572</v>
      </c>
    </row>
    <row r="175">
      <c r="A175" s="39" t="s">
        <v>573</v>
      </c>
      <c r="B175" s="40" t="s">
        <v>574</v>
      </c>
    </row>
    <row r="176">
      <c r="A176" s="39" t="s">
        <v>575</v>
      </c>
      <c r="B176" s="40" t="s">
        <v>576</v>
      </c>
    </row>
    <row r="177">
      <c r="A177" s="39" t="s">
        <v>577</v>
      </c>
      <c r="B177" s="40" t="s">
        <v>578</v>
      </c>
    </row>
    <row r="178">
      <c r="A178" s="39" t="s">
        <v>579</v>
      </c>
      <c r="B178" s="40" t="s">
        <v>580</v>
      </c>
    </row>
    <row r="179">
      <c r="A179" s="39" t="s">
        <v>581</v>
      </c>
      <c r="B179" s="40" t="s">
        <v>582</v>
      </c>
    </row>
    <row r="180">
      <c r="A180" s="39" t="s">
        <v>210</v>
      </c>
      <c r="B180" s="40" t="s">
        <v>583</v>
      </c>
    </row>
    <row r="181">
      <c r="A181" s="39" t="s">
        <v>584</v>
      </c>
      <c r="B181" s="40" t="s">
        <v>585</v>
      </c>
    </row>
    <row r="182">
      <c r="A182" s="39" t="s">
        <v>586</v>
      </c>
      <c r="B182" s="40" t="s">
        <v>587</v>
      </c>
    </row>
    <row r="183">
      <c r="A183" s="39" t="s">
        <v>588</v>
      </c>
      <c r="B183" s="40" t="s">
        <v>589</v>
      </c>
    </row>
    <row r="184">
      <c r="A184" s="39" t="s">
        <v>590</v>
      </c>
      <c r="B184" s="40" t="s">
        <v>591</v>
      </c>
    </row>
    <row r="185">
      <c r="A185" s="39" t="s">
        <v>592</v>
      </c>
      <c r="B185" s="40" t="s">
        <v>593</v>
      </c>
    </row>
    <row r="186">
      <c r="A186" s="39" t="s">
        <v>594</v>
      </c>
      <c r="B186" s="40" t="s">
        <v>595</v>
      </c>
    </row>
    <row r="187">
      <c r="A187" s="39" t="s">
        <v>596</v>
      </c>
      <c r="B187" s="40" t="s">
        <v>597</v>
      </c>
    </row>
    <row r="188">
      <c r="A188" s="39" t="s">
        <v>102</v>
      </c>
      <c r="B188" s="40" t="s">
        <v>598</v>
      </c>
    </row>
    <row r="189">
      <c r="A189" s="39" t="s">
        <v>599</v>
      </c>
      <c r="B189" s="40" t="s">
        <v>600</v>
      </c>
    </row>
    <row r="190">
      <c r="A190" s="39" t="s">
        <v>601</v>
      </c>
      <c r="B190" s="40" t="s">
        <v>602</v>
      </c>
    </row>
    <row r="191">
      <c r="A191" s="39" t="s">
        <v>603</v>
      </c>
      <c r="B191" s="40" t="s">
        <v>604</v>
      </c>
    </row>
    <row r="192">
      <c r="A192" s="39" t="s">
        <v>124</v>
      </c>
      <c r="B192" s="40" t="s">
        <v>605</v>
      </c>
    </row>
    <row r="193">
      <c r="A193" s="39" t="s">
        <v>606</v>
      </c>
      <c r="B193" s="40" t="s">
        <v>607</v>
      </c>
    </row>
    <row r="194">
      <c r="A194" s="39" t="s">
        <v>608</v>
      </c>
      <c r="B194" s="40" t="s">
        <v>609</v>
      </c>
    </row>
    <row r="195">
      <c r="A195" s="39" t="s">
        <v>610</v>
      </c>
      <c r="B195" s="40" t="s">
        <v>611</v>
      </c>
    </row>
    <row r="196">
      <c r="A196" s="39" t="s">
        <v>612</v>
      </c>
      <c r="B196" s="40" t="s">
        <v>431</v>
      </c>
    </row>
    <row r="197">
      <c r="A197" s="39" t="s">
        <v>613</v>
      </c>
      <c r="B197" s="40" t="s">
        <v>614</v>
      </c>
    </row>
    <row r="198">
      <c r="A198" s="39" t="s">
        <v>615</v>
      </c>
      <c r="B198" s="40" t="s">
        <v>616</v>
      </c>
    </row>
    <row r="199">
      <c r="A199" s="39" t="s">
        <v>617</v>
      </c>
      <c r="B199" s="40" t="s">
        <v>618</v>
      </c>
    </row>
    <row r="200">
      <c r="A200" s="39" t="s">
        <v>619</v>
      </c>
      <c r="B200" s="40" t="s">
        <v>620</v>
      </c>
    </row>
    <row r="201">
      <c r="A201" s="39" t="s">
        <v>621</v>
      </c>
      <c r="B201" s="40" t="s">
        <v>622</v>
      </c>
    </row>
    <row r="202">
      <c r="A202" s="39" t="s">
        <v>623</v>
      </c>
      <c r="B202" s="40" t="s">
        <v>624</v>
      </c>
    </row>
    <row r="203">
      <c r="A203" s="39" t="s">
        <v>625</v>
      </c>
      <c r="B203" s="40" t="s">
        <v>626</v>
      </c>
    </row>
    <row r="204">
      <c r="A204" s="39" t="s">
        <v>627</v>
      </c>
      <c r="B204" s="40" t="s">
        <v>628</v>
      </c>
    </row>
    <row r="205">
      <c r="A205" s="39" t="s">
        <v>629</v>
      </c>
      <c r="B205" s="40" t="s">
        <v>630</v>
      </c>
    </row>
    <row r="206">
      <c r="A206" s="39" t="s">
        <v>631</v>
      </c>
      <c r="B206" s="40" t="s">
        <v>632</v>
      </c>
    </row>
    <row r="207">
      <c r="A207" s="39" t="s">
        <v>633</v>
      </c>
      <c r="B207" s="40" t="s">
        <v>634</v>
      </c>
    </row>
    <row r="208">
      <c r="A208" s="39" t="s">
        <v>635</v>
      </c>
      <c r="B208" s="40" t="s">
        <v>636</v>
      </c>
    </row>
    <row r="209">
      <c r="A209" s="39" t="s">
        <v>637</v>
      </c>
      <c r="B209" s="40" t="s">
        <v>638</v>
      </c>
    </row>
    <row r="210">
      <c r="A210" s="39" t="s">
        <v>639</v>
      </c>
      <c r="B210" s="40" t="s">
        <v>640</v>
      </c>
    </row>
    <row r="211">
      <c r="A211" s="39" t="s">
        <v>36</v>
      </c>
      <c r="B211" s="40" t="s">
        <v>641</v>
      </c>
    </row>
    <row r="212">
      <c r="A212" s="39" t="s">
        <v>642</v>
      </c>
      <c r="B212" s="40" t="s">
        <v>643</v>
      </c>
    </row>
    <row r="213">
      <c r="A213" s="39" t="s">
        <v>644</v>
      </c>
      <c r="B213" s="40" t="s">
        <v>645</v>
      </c>
    </row>
    <row r="214">
      <c r="A214" s="39" t="s">
        <v>646</v>
      </c>
      <c r="B214" s="40" t="s">
        <v>647</v>
      </c>
    </row>
    <row r="215">
      <c r="A215" s="39" t="s">
        <v>648</v>
      </c>
      <c r="B215" s="40" t="s">
        <v>649</v>
      </c>
    </row>
    <row r="216">
      <c r="A216" s="39" t="s">
        <v>650</v>
      </c>
      <c r="B216" s="40" t="s">
        <v>651</v>
      </c>
    </row>
    <row r="217">
      <c r="A217" s="39" t="s">
        <v>652</v>
      </c>
      <c r="B217" s="40" t="s">
        <v>653</v>
      </c>
    </row>
    <row r="218">
      <c r="A218" s="39" t="s">
        <v>654</v>
      </c>
      <c r="B218" s="40" t="s">
        <v>655</v>
      </c>
    </row>
    <row r="219">
      <c r="A219" s="39" t="s">
        <v>656</v>
      </c>
      <c r="B219" s="40" t="s">
        <v>657</v>
      </c>
    </row>
    <row r="220">
      <c r="A220" s="39" t="s">
        <v>658</v>
      </c>
      <c r="B220" s="40" t="s">
        <v>659</v>
      </c>
    </row>
    <row r="221">
      <c r="A221" s="39" t="s">
        <v>660</v>
      </c>
      <c r="B221" s="40" t="s">
        <v>661</v>
      </c>
    </row>
    <row r="222">
      <c r="A222" s="39" t="s">
        <v>660</v>
      </c>
      <c r="B222" s="40" t="s">
        <v>662</v>
      </c>
    </row>
    <row r="223">
      <c r="A223" s="39" t="s">
        <v>663</v>
      </c>
      <c r="B223" s="40" t="s">
        <v>664</v>
      </c>
    </row>
    <row r="224">
      <c r="A224" s="39" t="s">
        <v>665</v>
      </c>
      <c r="B224" s="40" t="s">
        <v>666</v>
      </c>
    </row>
    <row r="225">
      <c r="A225" s="39" t="s">
        <v>667</v>
      </c>
      <c r="B225" s="40" t="s">
        <v>668</v>
      </c>
    </row>
    <row r="226">
      <c r="A226" s="39" t="s">
        <v>669</v>
      </c>
      <c r="B226" s="40" t="s">
        <v>620</v>
      </c>
    </row>
    <row r="227">
      <c r="A227" s="39" t="s">
        <v>670</v>
      </c>
      <c r="B227" s="40" t="s">
        <v>671</v>
      </c>
    </row>
    <row r="228">
      <c r="A228" s="39" t="s">
        <v>672</v>
      </c>
      <c r="B228" s="40" t="s">
        <v>673</v>
      </c>
    </row>
    <row r="229">
      <c r="A229" s="39" t="s">
        <v>674</v>
      </c>
      <c r="B229" s="40" t="s">
        <v>675</v>
      </c>
    </row>
    <row r="230">
      <c r="A230" s="39" t="s">
        <v>676</v>
      </c>
      <c r="B230" s="40" t="s">
        <v>677</v>
      </c>
    </row>
    <row r="231">
      <c r="A231" s="39" t="s">
        <v>190</v>
      </c>
      <c r="B231" s="40" t="s">
        <v>678</v>
      </c>
    </row>
    <row r="232">
      <c r="A232" s="39" t="s">
        <v>679</v>
      </c>
      <c r="B232" s="40" t="s">
        <v>680</v>
      </c>
    </row>
    <row r="233">
      <c r="A233" s="39" t="s">
        <v>681</v>
      </c>
      <c r="B233" s="40" t="s">
        <v>682</v>
      </c>
    </row>
    <row r="234">
      <c r="A234" s="39" t="s">
        <v>683</v>
      </c>
      <c r="B234" s="40" t="s">
        <v>684</v>
      </c>
    </row>
    <row r="235">
      <c r="A235" s="39" t="s">
        <v>685</v>
      </c>
      <c r="B235" s="40" t="s">
        <v>686</v>
      </c>
    </row>
    <row r="236">
      <c r="A236" s="39" t="s">
        <v>129</v>
      </c>
      <c r="B236" s="40" t="s">
        <v>687</v>
      </c>
    </row>
    <row r="237">
      <c r="A237" s="39" t="s">
        <v>688</v>
      </c>
      <c r="B237" s="40" t="s">
        <v>689</v>
      </c>
    </row>
    <row r="238">
      <c r="A238" s="39" t="s">
        <v>690</v>
      </c>
      <c r="B238" s="40" t="s">
        <v>691</v>
      </c>
    </row>
    <row r="239">
      <c r="A239" s="39" t="s">
        <v>692</v>
      </c>
      <c r="B239" s="40" t="s">
        <v>453</v>
      </c>
    </row>
    <row r="240">
      <c r="A240" s="39" t="s">
        <v>693</v>
      </c>
      <c r="B240" s="40" t="s">
        <v>694</v>
      </c>
    </row>
    <row r="241">
      <c r="A241" s="39" t="s">
        <v>695</v>
      </c>
      <c r="B241" s="40" t="s">
        <v>477</v>
      </c>
    </row>
    <row r="242">
      <c r="A242" s="39" t="s">
        <v>696</v>
      </c>
      <c r="B242" s="40" t="s">
        <v>697</v>
      </c>
    </row>
    <row r="243">
      <c r="A243" s="39" t="s">
        <v>698</v>
      </c>
      <c r="B243" s="40" t="s">
        <v>699</v>
      </c>
    </row>
    <row r="244">
      <c r="A244" s="39" t="s">
        <v>700</v>
      </c>
      <c r="B244" s="40" t="s">
        <v>701</v>
      </c>
    </row>
    <row r="245">
      <c r="A245" s="39" t="s">
        <v>700</v>
      </c>
      <c r="B245" s="40" t="s">
        <v>702</v>
      </c>
    </row>
    <row r="246">
      <c r="A246" s="39" t="s">
        <v>703</v>
      </c>
      <c r="B246" s="40" t="s">
        <v>704</v>
      </c>
    </row>
    <row r="247">
      <c r="A247" s="39" t="s">
        <v>705</v>
      </c>
      <c r="B247" s="40" t="s">
        <v>706</v>
      </c>
    </row>
    <row r="248">
      <c r="A248" s="39" t="s">
        <v>707</v>
      </c>
      <c r="B248" s="40" t="s">
        <v>708</v>
      </c>
    </row>
    <row r="249">
      <c r="A249" s="39" t="s">
        <v>134</v>
      </c>
      <c r="B249" s="40" t="s">
        <v>709</v>
      </c>
    </row>
    <row r="250">
      <c r="A250" s="39" t="s">
        <v>710</v>
      </c>
      <c r="B250" s="40" t="s">
        <v>711</v>
      </c>
    </row>
    <row r="251">
      <c r="A251" s="39" t="s">
        <v>712</v>
      </c>
      <c r="B251" s="40" t="s">
        <v>713</v>
      </c>
    </row>
    <row r="252">
      <c r="A252" s="39" t="s">
        <v>714</v>
      </c>
      <c r="B252" s="40" t="s">
        <v>715</v>
      </c>
    </row>
    <row r="253">
      <c r="A253" s="39" t="s">
        <v>716</v>
      </c>
      <c r="B253" s="40" t="s">
        <v>717</v>
      </c>
    </row>
    <row r="254">
      <c r="A254" s="39" t="s">
        <v>41</v>
      </c>
      <c r="B254" s="40" t="s">
        <v>718</v>
      </c>
    </row>
    <row r="255">
      <c r="A255" s="39" t="s">
        <v>719</v>
      </c>
      <c r="B255" s="40" t="s">
        <v>720</v>
      </c>
    </row>
    <row r="256">
      <c r="A256" s="39" t="s">
        <v>721</v>
      </c>
      <c r="B256" s="40" t="s">
        <v>722</v>
      </c>
    </row>
    <row r="257">
      <c r="A257" s="39" t="s">
        <v>249</v>
      </c>
      <c r="B257" s="40" t="s">
        <v>250</v>
      </c>
    </row>
    <row r="258">
      <c r="A258" s="39" t="s">
        <v>723</v>
      </c>
      <c r="B258" s="40" t="s">
        <v>724</v>
      </c>
    </row>
    <row r="259">
      <c r="A259" s="39" t="s">
        <v>83</v>
      </c>
      <c r="B259" s="40" t="s">
        <v>725</v>
      </c>
    </row>
    <row r="260">
      <c r="A260" s="39" t="s">
        <v>726</v>
      </c>
      <c r="B260" s="40" t="s">
        <v>727</v>
      </c>
    </row>
    <row r="261">
      <c r="A261" s="39" t="s">
        <v>728</v>
      </c>
      <c r="B261" s="40" t="s">
        <v>729</v>
      </c>
    </row>
    <row r="262">
      <c r="A262" s="39" t="s">
        <v>730</v>
      </c>
      <c r="B262" s="40" t="s">
        <v>731</v>
      </c>
    </row>
    <row r="263">
      <c r="A263" s="39" t="s">
        <v>732</v>
      </c>
      <c r="B263" s="40" t="s">
        <v>733</v>
      </c>
    </row>
    <row r="264">
      <c r="A264" s="39" t="s">
        <v>112</v>
      </c>
      <c r="B264" s="40" t="s">
        <v>734</v>
      </c>
    </row>
    <row r="265">
      <c r="A265" s="41"/>
    </row>
    <row r="266">
      <c r="A266" s="41"/>
    </row>
    <row r="267">
      <c r="A267" s="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735</v>
      </c>
      <c r="B1" s="42" t="s">
        <v>736</v>
      </c>
    </row>
    <row r="2">
      <c r="A2" s="42" t="s">
        <v>737</v>
      </c>
      <c r="B2" s="16" t="s">
        <v>150</v>
      </c>
    </row>
    <row r="3">
      <c r="A3" s="42" t="s">
        <v>738</v>
      </c>
      <c r="B3" s="16" t="s">
        <v>151</v>
      </c>
    </row>
    <row r="4">
      <c r="A4" s="42" t="s">
        <v>739</v>
      </c>
      <c r="B4" s="16" t="s">
        <v>740</v>
      </c>
    </row>
  </sheetData>
  <hyperlinks>
    <hyperlink r:id="rId1" ref="B2"/>
    <hyperlink r:id="rId2" ref="B3"/>
    <hyperlink r:id="rId3" ref="B4"/>
  </hyperlinks>
  <drawing r:id="rId4"/>
</worksheet>
</file>